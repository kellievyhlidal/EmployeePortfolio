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17a770665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Use" sheetId="19" r:id="R0bda07613d0e4616"/>
    <x:sheet xmlns:r="http://schemas.openxmlformats.org/officeDocument/2006/relationships" name="Portfolio" sheetId="9" r:id="R0a23a72b10f84e2c"/>
    <x:sheet xmlns:r="http://schemas.openxmlformats.org/officeDocument/2006/relationships" name="Monthly Performance" sheetId="18" r:id="R966c064c33e44d87"/>
    <x:sheet xmlns:r="http://schemas.openxmlformats.org/officeDocument/2006/relationships" name="Employee Workspace" sheetId="11" r:id="Ra8d98b1acaf047c3"/>
  </x:sheets>
  <x:definedNames>
    <x:definedName name="selectedemployee">Portfolio!#REF!</x:definedName>
    <x:definedName name="tblCalculations">#REF!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<x:sst xmlns:x="http://schemas.openxmlformats.org/spreadsheetml/2006/main">
  <x:si>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Employee Performance Dashboard</x:t>
  </x:si>
  <x:si>
    <x:t xml:space="preserve">User Guide</x:t>
  </x:si>
  <x:si>
    <x:t xml:space="preserve">Do the steps in order. Yellow cells are manager-input cells. If this guide does not tell you to edit a cell, leave it alone.</x:t>
  </x:si>
  <x:si>
    <x:t xml:space="preserve">Task</x:t>
  </x:si>
  <x:si>
    <x:t xml:space="preserve">Location</x:t>
  </x:si>
  <x:si>
    <x:t xml:space="preserve">Sheet</x:t>
  </x:si>
  <x:si>
    <x:t xml:space="preserve">Purpose</x:t>
  </x:si>
  <x:si>
    <x:t xml:space="preserve">✔ Update monthly production</x:t>
  </x:si>
  <x:si>
    <x:r>
      <x:t xml:space="preserve">Performance Data</x:t>
    </x:r>
    <x:r>
      <x:rPr>
        <x:sz val="11"/>
        <x:color theme="1"/>
        <x:rFont val="Aptos Narrow"/>
        <x:family val="2"/>
        <x:scheme val="minor"/>
      </x:rPr>
      <x:t xml:space="preserve"> </x:t>
    </x:r>
  </x:si>
  <x:si>
    <x:t xml:space="preserve">How to Use</x:t>
  </x:si>
  <x:si>
    <x:t xml:space="preserve">Instructions</x:t>
  </x:si>
  <x:si>
    <x:t xml:space="preserve">Employee Workspace</x:t>
  </x:si>
  <x:si>
    <x:t xml:space="preserve">Portfolio</x:t>
  </x:si>
  <x:si>
    <x:t xml:space="preserve">Employee coaching dashboard</x:t>
  </x:si>
  <x:si>
    <x:t xml:space="preserve">✔ Update Recent Win</x:t>
  </x:si>
  <x:si>
    <x:t xml:space="preserve">Performance Data</x:t>
  </x:si>
  <x:si>
    <x:t xml:space="preserve">Monthly production entry</x:t>
  </x:si>
  <x:si>
    <x:t xml:space="preserve">✔ Update Current Focus</x:t>
  </x:si>
  <x:si>
    <x:t xml:space="preserve">Employee information &amp; coaching notes</x:t>
  </x:si>
  <x:si>
    <x:t xml:space="preserve">✔ Review Growth Plan</x:t>
  </x:si>
  <x:si>
    <x:t xml:space="preserve">Dashboard</x:t>
  </x:si>
  <x:si>
    <x:r>
      <x:t xml:space="preserve">Automatic calculations </x:t>
    </x:r>
    <x:r>
      <x:rPr>
        <x:i/>
        <x:sz val="11"/>
        <x:color theme="1"/>
        <x:rFont val="Aptos Narrow"/>
        <x:family val="2"/>
        <x:scheme val="minor"/>
      </x:rPr>
      <x:t xml:space="preserve">(leave alone)</x:t>
    </x:r>
  </x:si>
  <x:si>
    <x:t xml:space="preserve">✔ Verify Portfolio dashboard</x:t>
  </x:si>
  <x:si>
    <x:r>
      <x:t xml:space="preserve">Portfolio</x:t>
    </x:r>
    <x:r>
      <x:rPr>
        <x:sz val="11"/>
        <x:color theme="1"/>
        <x:rFont val="Aptos Narrow"/>
        <x:family val="2"/>
        <x:scheme val="minor"/>
      </x:rPr>
      <x:t xml:space="preserve"> </x:t>
    </x:r>
  </x:si>
  <x:si>
    <x:t xml:space="preserve">🚫 Do Not Edit</x:t>
  </x:si>
  <x:si>
    <x:t xml:space="preserve">Formula columns in Monthly Performance</x:t>
  </x:si>
  <x:si>
    <x:t xml:space="preserve">Helper cells on Employee Workspace (except what this guide lists)</x:t>
  </x:si>
  <x:si>
    <x:t xml:space="preserve">Linked text boxes / formulas on Portfolio</x:t>
  </x:si>
  <x:si>
    <x:t xml:space="preserve">Performance Trend helper data / chart setup</x:t>
  </x:si>
  <x:si>
    <x:t xml:space="preserve">Do not insert or delete columns inside the Monthly Performance table</x:t>
  </x:si>
  <x:si>
    <x:t xml:space="preserve">*If you see #REF!, #VALUE!, or something disappears, press Ctrl+Z and stop. Do not delete formulas to 'fix' it.</x:t>
  </x:si>
  <x:si>
    <x:t xml:space="preserve">1. FIRST-TIME SETUP — DO THIS BEFORE ENTERING ANY NUMBERS</x:t>
  </x:si>
  <x:si>
    <x:t xml:space="preserve">Save your own copy</x:t>
  </x:si>
  <x:si>
    <x:t xml:space="preserve">File → Save As</x:t>
  </x:si>
  <x:si>
    <x:t xml:space="preserve">Rename the file: "[Employee Name] Portfolio 2026.xlsx". Do NOT edit the blank/master copy.</x:t>
  </x:si>
  <x:si>
    <x:t xml:space="preserve">Open Employee Workspace</x:t>
  </x:si>
  <x:si>
    <x:t xml:space="preserve">Bottom tab</x:t>
  </x:si>
  <x:si>
    <x:t xml:space="preserve">This is the main setup page. The yellow cells are the cells managers are expected to type in.</x:t>
  </x:si>
  <x:si>
    <x:t xml:space="preserve">Replace the employee info</x:t>
  </x:si>
  <x:si>
    <x:t xml:space="preserve">Yellow cells in column B</x:t>
  </x:si>
  <x:si>
    <x:t xml:space="preserve">Type over the sample employee information using the exact cell list in Section 2.</x:t>
  </x:si>
  <x:si>
    <x:t xml:space="preserve">Enter monthly performance</x:t>
  </x:si>
  <x:si>
    <x:t xml:space="preserve">Monthly Performance tab</x:t>
  </x:si>
  <x:si>
    <x:t xml:space="preserve">Find the correct month row and type ONLY in the input columns listed in Section 3.</x:t>
  </x:si>
  <x:si>
    <x:t xml:space="preserve">Check the Portfolio</x:t>
  </x:si>
  <x:si>
    <x:t xml:space="preserve">Portfolio tab</x:t>
  </x:si>
  <x:si>
    <x:t xml:space="preserve">Save again</x:t>
  </x:si>
  <x:si>
    <x:t xml:space="preserve">Ctrl + S</x:t>
  </x:si>
  <x:si>
    <x:t xml:space="preserve">Save after setup and after every monthly update.</x:t>
  </x:si>
  <x:si>
    <x:t xml:space="preserve">2. EMPLOYEE WORKSPACE — EXACT CELLS TO EDIT</x:t>
  </x:si>
  <x:si>
    <x:t xml:space="preserve">Field</x:t>
  </x:si>
  <x:si>
    <x:t xml:space="preserve">Cell</x:t>
  </x:si>
  <x:si>
    <x:t xml:space="preserve">What to Enter</x:t>
  </x:si>
  <x:si>
    <x:t xml:space="preserve">Important Note</x:t>
  </x:si>
  <x:si>
    <x:t xml:space="preserve">Employee Name</x:t>
  </x:si>
  <x:si>
    <x:t xml:space="preserve">B2</x:t>
  </x:si>
  <x:si>
    <x:t xml:space="preserve">Full employee name</x:t>
  </x:si>
  <x:si>
    <x:t xml:space="preserve">Position</x:t>
  </x:si>
  <x:si>
    <x:t xml:space="preserve">B3</x:t>
  </x:si>
  <x:si>
    <x:t xml:space="preserve">Current job title</x:t>
  </x:si>
  <x:si>
    <x:t xml:space="preserve">Hire Date</x:t>
  </x:si>
  <x:si>
    <x:t xml:space="preserve">B4</x:t>
  </x:si>
  <x:si>
    <x:t xml:space="preserve">Actual hire/start date</x:t>
  </x:si>
  <x:si>
    <x:t xml:space="preserve">Branch</x:t>
  </x:si>
  <x:si>
    <x:t xml:space="preserve">B5</x:t>
  </x:si>
  <x:si>
    <x:t xml:space="preserve">Current branch/location</x:t>
  </x:si>
  <x:si>
    <x:t xml:space="preserve">Next Career Goal</x:t>
  </x:si>
  <x:si>
    <x:t xml:space="preserve">B6</x:t>
  </x:si>
  <x:si>
    <x:t xml:space="preserve">Next role the employee is working toward</x:t>
  </x:si>
  <x:si>
    <x:t xml:space="preserve">Theme Color</x:t>
  </x:si>
  <x:si>
    <x:t xml:space="preserve">B7</x:t>
  </x:si>
  <x:si>
    <x:t xml:space="preserve">Optional note only</x:t>
  </x:si>
  <x:si>
    <x:t xml:space="preserve">This does NOT recolor the Portfolio. See Section 5.</x:t>
  </x:si>
  <x:si>
    <x:t xml:space="preserve">Recent Win</x:t>
  </x:si>
  <x:si>
    <x:t xml:space="preserve">B8</x:t>
  </x:si>
  <x:si>
    <x:t xml:space="preserve">One recent success</x:t>
  </x:si>
  <x:si>
    <x:t xml:space="preserve">Keep it short enough to fit the Portfolio box.</x:t>
  </x:si>
  <x:si>
    <x:t xml:space="preserve">Current Focus</x:t>
  </x:si>
  <x:si>
    <x:t xml:space="preserve">B9</x:t>
  </x:si>
  <x:si>
    <x:t xml:space="preserve">The ONE main coaching focus</x:t>
  </x:si>
  <x:si>
    <x:t xml:space="preserve">Keep the coaching focus specific.</x:t>
  </x:si>
  <x:si>
    <x:t xml:space="preserve">Growth Plan 1</x:t>
  </x:si>
  <x:si>
    <x:t xml:space="preserve">B10</x:t>
  </x:si>
  <x:si>
    <x:t xml:space="preserve">First action step</x:t>
  </x:si>
  <x:si>
    <x:t xml:space="preserve">Short, specific action.</x:t>
  </x:si>
  <x:si>
    <x:t xml:space="preserve">Growth Plan 2</x:t>
  </x:si>
  <x:si>
    <x:t xml:space="preserve">B11</x:t>
  </x:si>
  <x:si>
    <x:t xml:space="preserve">Second action step</x:t>
  </x:si>
  <x:si>
    <x:t xml:space="preserve">Growth Plan 3</x:t>
  </x:si>
  <x:si>
    <x:t xml:space="preserve">B12</x:t>
  </x:si>
  <x:si>
    <x:t xml:space="preserve">Third action step</x:t>
  </x:si>
  <x:si>
    <x:t xml:space="preserve">Career Highlights</x:t>
  </x:si>
  <x:si>
    <x:t xml:space="preserve">B13</x:t>
  </x:si>
  <x:si>
    <x:t xml:space="preserve">Awards / accomplishments to keep on file</x:t>
  </x:si>
  <x:si>
    <x:t xml:space="preserve">If old text remains on the Portfolio, see Section 7.</x:t>
  </x:si>
  <x:si>
    <x:t xml:space="preserve">Promotions</x:t>
  </x:si>
  <x:si>
    <x:t xml:space="preserve">B14</x:t>
  </x:si>
  <x:si>
    <x:t xml:space="preserve">Promotion history</x:t>
  </x:si>
  <x:si>
    <x:t xml:space="preserve">B16</x:t>
  </x:si>
  <x:si>
    <x:t xml:space="preserve">Enter the current whole number.</x:t>
  </x:si>
  <x:si>
    <x:t xml:space="preserve">B17</x:t>
  </x:si>
  <x:si>
    <x:t xml:space="preserve">Usually 70 unless the goal changes.</x:t>
  </x:si>
  <x:si>
    <x:t xml:space="preserve">Data Updated</x:t>
  </x:si>
  <x:si>
    <x:t xml:space="preserve">B18</x:t>
  </x:si>
  <x:si>
    <x:t xml:space="preserve">Date the workbook was updated</x:t>
  </x:si>
  <x:si>
    <x:t xml:space="preserve">Enter the update date.</x:t>
  </x:si>
  <x:si>
    <x:t xml:space="preserve">3. MONTHLY PERFORMANCE — WHAT TO TYPE AND WHAT TO LEAVE ALONE</x:t>
  </x:si>
  <x:si>
    <x:t xml:space="preserve">Go to Monthly Performance and find the row for the month you are updating. Type only in the INPUT columns below. Formula columns calculate automatically.</x:t>
  </x:si>
  <x:si>
    <x:t xml:space="preserve">Column</x:t>
  </x:si>
  <x:si>
    <x:t xml:space="preserve">Type</x:t>
  </x:si>
  <x:si>
    <x:t xml:space="preserve">Example / Rule</x:t>
  </x:si>
  <x:si>
    <x:t xml:space="preserve">A — Employee</x:t>
  </x:si>
  <x:si>
    <x:t xml:space="preserve">INPUT</x:t>
  </x:si>
  <x:si>
    <x:t xml:space="preserve">Employee name used in the table</x:t>
  </x:si>
  <x:si>
    <x:t xml:space="preserve">Must match the employee in the file.</x:t>
  </x:si>
  <x:si>
    <x:t xml:space="preserve">B — Month</x:t>
  </x:si>
  <x:si>
    <x:t xml:space="preserve">Month being reported</x:t>
  </x:si>
  <x:si>
    <x:t xml:space="preserve">Use a real Excel date/month.</x:t>
  </x:si>
  <x:si>
    <x:t xml:space="preserve">C — LookupKey</x:t>
  </x:si>
  <x:si>
    <x:t xml:space="preserve">FORMULA</x:t>
  </x:si>
  <x:si>
    <x:t xml:space="preserve">DO NOT TYPE HERE</x:t>
  </x:si>
  <x:si>
    <x:t xml:space="preserve">Excel creates this automatically.</x:t>
  </x:si>
  <x:si>
    <x:t xml:space="preserve">Example: 10</x:t>
  </x:si>
  <x:si>
    <x:t xml:space="preserve">Example: 7</x:t>
  </x:si>
  <x:si>
    <x:t xml:space="preserve">Calculated automatically.</x:t>
  </x:si>
  <x:si>
    <x:t xml:space="preserve">Example: 2</x:t>
  </x:si>
  <x:si>
    <x:t xml:space="preserve">Example: 1</x:t>
  </x:si>
  <x:si>
    <x:t xml:space="preserve">Type 10.53% or 0.1053 — NOT 10.53.</x:t>
  </x:si>
  <x:si>
    <x:t xml:space="preserve">Type 86% or 0.86 — NOT 86.</x:t>
  </x:si>
  <x:si>
    <x:t xml:space="preserve">150% is okay if completion is above goal.</x:t>
  </x:si>
  <x:si>
    <x:t xml:space="preserve">4. MONTHLY UPDATE ROUTINE — DO THESE SIX THINGS IN ORDER</x:t>
  </x:si>
  <x:si>
    <x:t xml:space="preserve">Monthly Performance</x:t>
  </x:si>
  <x:si>
    <x:t xml:space="preserve">Enter the new month's goal/production numbers and quality percentages.</x:t>
  </x:si>
  <x:si>
    <x:t xml:space="preserve">Update Data Updated date.</x:t>
  </x:si>
  <x:si>
    <x:t xml:space="preserve">B8–B9</x:t>
  </x:si>
  <x:si>
    <x:t xml:space="preserve">Refresh Recent Win and Current Focus.</x:t>
  </x:si>
  <x:si>
    <x:t xml:space="preserve">B10–B12</x:t>
  </x:si>
  <x:si>
    <x:t xml:space="preserve">Review the Growth Plan and change it if the coaching focus changed.</x:t>
  </x:si>
  <x:si>
    <x:t xml:space="preserve">Verify everything looks correct, then save.</x:t>
  </x:si>
  <x:si>
    <x:t xml:space="preserve">5. HOW TO CHANGE THE PORTFOLIO COLORS — LITERAL CLICK-BY-CLICK</x:t>
  </x:si>
  <x:si>
    <x:t xml:space="preserve">Click the Portfolio tab.</x:t>
  </x:si>
  <x:si>
    <x:t xml:space="preserve">B7 on Employee Workspace is only a note; it does not recolor the dashboard.</x:t>
  </x:si>
  <x:si>
    <x:t xml:space="preserve">Click the EDGE of the purple box you want to change.</x:t>
  </x:si>
  <x:si>
    <x:t xml:space="preserve">If your typing cursor appears inside the words, press Esc once so the OUTER SHAPE is selected.</x:t>
  </x:si>
  <x:si>
    <x:t xml:space="preserve">Look at the top ribbon for Shape Format.</x:t>
  </x:si>
  <x:si>
    <x:t xml:space="preserve">Shape Format appears only when the shape itself is selected.</x:t>
  </x:si>
  <x:si>
    <x:t xml:space="preserve">Click Shape Format → Shape Fill.</x:t>
  </x:si>
  <x:si>
    <x:t xml:space="preserve">Choose the new color. Use More Fill Colors for a custom color.</x:t>
  </x:si>
  <x:si>
    <x:t xml:space="preserve">Repeat for each large purple section.</x:t>
  </x:si>
  <x:si>
    <x:t xml:space="preserve">To change WORD color, click the text itself.</x:t>
  </x:si>
  <x:si>
    <x:t xml:space="preserve">Use Home → Font Color. Do not use Shape Fill if you only want to change the words.</x:t>
  </x:si>
  <x:si>
    <x:t xml:space="preserve">If you move or resize anything by accident, press Ctrl + Z.</x:t>
  </x:si>
  <x:si>
    <x:t xml:space="preserve">Do not try to drag it back into place by guessing.</x:t>
  </x:si>
  <x:si>
    <x:t xml:space="preserve">Save when the colors are finished.</x:t>
  </x:si>
  <x:si>
    <x:t xml:space="preserve">Color changes are manual and only need to be done during initial setup unless you want a new theme later.</x:t>
  </x:si>
  <x:si>
    <x:t xml:space="preserve">6. DO NOT EDIT / DELETE THESE ITEMS</x:t>
  </x:si>
  <x:si>
    <x:t xml:space="preserve">🚫 Monthly Performance columns C, F, I, and M — these are formula columns.</x:t>
  </x:si>
  <x:si>
    <x:t xml:space="preserve">🚫 Helper cells on the far right of Employee Workspace, except the visible yellow inputs listed in this guide.</x:t>
  </x:si>
  <x:si>
    <x:t xml:space="preserve">🚫 Linked text boxes, KPI formulas, chart setup, or helper data on Portfolio.</x:t>
  </x:si>
  <x:si>
    <x:t xml:space="preserve">🚫 Do not insert/delete columns in Monthly Performance. Add data in the existing rows/structure.</x:t>
  </x:si>
  <x:si>
    <x:t xml:space="preserve">7. QUICK TROUBLESHOOTING</x:t>
  </x:si>
  <x:si>
    <x:t xml:space="preserve">Portfolio did not update</x:t>
  </x:si>
  <x:si>
    <x:t xml:space="preserve">Check that you updated the correct month row and the correct yellow input cells. Save the file and re-check.</x:t>
  </x:si>
  <x:si>
    <x:t xml:space="preserve">Percent looks crazy (example: 8,600%)</x:t>
  </x:si>
  <x:si>
    <x:t xml:space="preserve">You probably typed 86 instead of 86%. Enter 86% or 0.86.</x:t>
  </x:si>
  <x:si>
    <x:t xml:space="preserve">Color only changed one word</x:t>
  </x:si>
  <x:si>
    <x:t xml:space="preserve">You selected text, not the outer shape. Click the shape edge or press Esc once, then use Shape Fill.</x:t>
  </x:si>
  <x:si>
    <x:t xml:space="preserve">Career Highlights still show old text</x:t>
  </x:si>
  <x:si>
    <x:t xml:space="preserve">Click the Career Highlights text box on Portfolio and type over the old highlight text in that box.</x:t>
  </x:si>
  <x:si>
    <x:t xml:space="preserve">#REF! / #VALUE! / something disappeared</x:t>
  </x:si>
  <x:si>
    <x:t xml:space="preserve">Press Ctrl + Z immediately. Do not delete formulas or helper cells. Reopen the clean/master copy if needed.</x:t>
  </x:si>
  <x:si>
    <x:t xml:space="preserve">BEST RULE: If this guide does not specifically tell you to edit it, leave it alone.</x:t>
  </x:si>
  <x:si>
    <x:t xml:space="preserve">Display - Employee Since</x:t>
  </x:si>
  <x:si>
    <x:t xml:space="preserve">Column1</x:t>
  </x:si>
  <x:si>
    <x:t xml:space="preserve">Column2</x:t>
  </x:si>
  <x:si>
    <x:t xml:space="preserve">Dashboard Helper Cells</x:t>
  </x:si>
  <x:si>
    <x:t xml:space="preserve">Employee Since</x:t>
  </x:si>
  <x:si>
    <x:t xml:space="preserve">Input employee's most recent win. (Google review, hit goal, etc)</x:t>
  </x:si>
  <x:si>
    <x:t xml:space="preserve">Growth Plan</x:t>
  </x:si>
  <x:si>
    <x:t xml:space="preserve">Career Goal</x:t>
  </x:si>
  <x:si>
    <x:t xml:space="preserve">Career Highlights go here</x:t>
  </x:si>
  <x:si>
    <x:t xml:space="preserve">Month</x:t>
  </x:si>
  <x:si>
    <x:t xml:space="preserve">Score</x:t>
  </x:si>
</x:sst>
</file>

<file path=xl/styles.xml><?xml version="1.0" encoding="utf-8"?>
<x:styleSheet xmlns:x="http://schemas.openxmlformats.org/spreadsheetml/2006/main">
  <x:numFmts count="7">
    <x:numFmt numFmtId="164" formatCode="mmm/yy"/>
    <x:numFmt numFmtId="200" formatCode="0%"/>
    <x:numFmt numFmtId="201" formatCode="0.00%"/>
    <x:numFmt numFmtId="202" formatCode="mmm yyyy"/>
    <x:numFmt numFmtId="203" formatCode="mmmm d, yyyy"/>
    <x:numFmt numFmtId="204" formatCode="m/d/yyyy"/>
    <x:numFmt numFmtId="205" formatCode="mmm"/>
  </x:numFmts>
  <x:fonts count="29"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ptos Narrow"/>
    </x:font>
    <x:font>
      <x:sz val="8"/>
      <x:name val="Aptos Narrow"/>
    </x:font>
    <x:font>
      <x:i/>
      <x:sz val="11"/>
      <x:color theme="1"/>
      <x:name val="Aptos Narrow"/>
    </x:font>
    <x:font>
      <x:b/>
      <x:sz val="12"/>
      <x:color theme="0"/>
      <x:name val="Aptos Narrow"/>
    </x:font>
    <x:font>
      <x:i/>
      <x:sz val="14"/>
      <x:color theme="1"/>
      <x:name val="Aptos Narrow"/>
    </x:font>
    <x:font>
      <x:b/>
      <x:sz val="11"/>
      <x:color theme="0" tint="-0.04999"/>
      <x:name val="Aptos Narrow"/>
    </x:font>
    <x:font>
      <x:i/>
      <x:sz val="10"/>
      <x:color theme="1"/>
      <x:name val="Aptos Narrow"/>
    </x:font>
    <x:font>
      <x:sz val="11"/>
      <x:color rgb="FF3A2438"/>
      <x:name val="Aptos Narrow"/>
    </x:font>
    <x:font>
      <x:b/>
      <x:sz val="24"/>
      <x:color theme="1"/>
      <x:name val="Aptos Narrow"/>
    </x:font>
    <x:font>
      <x:b/>
      <x:i/>
      <x:sz val="11"/>
      <x:color theme="1"/>
      <x:name val="Aptos Narrow"/>
    </x:font>
    <x:font>
      <x:sz val="12"/>
      <x:color theme="1"/>
      <x:name val="Aptos Narrow"/>
    </x:font>
    <x:font>
      <x:b/>
      <x:sz val="11"/>
      <x:color theme="0"/>
      <x:name val="Aptos Narrow"/>
    </x:font>
    <x:font>
      <x:sz val="11"/>
      <x:color theme="0"/>
      <x:name val="Aptos Narrow"/>
    </x:font>
    <x:font>
      <x:b/>
      <x:sz val="24"/>
      <x:name val="Aptos Narrow"/>
    </x:font>
    <x:font>
      <x:sz val="20"/>
      <x:name val="Aptos Narrow"/>
    </x:font>
    <x:font>
      <x:sz val="11"/>
      <x:color rgb="FF000000"/>
      <x:name val="Aptos Narrow"/>
    </x:font>
    <x:font>
      <x:b/>
      <x:i/>
      <x:sz val="11"/>
      <x:color rgb="FFA23B3B"/>
      <x:name val="Aptos Narrow"/>
    </x:font>
    <x:font>
      <x:b/>
      <x:i/>
      <x:sz val="10"/>
      <x:color rgb="FF3F2943"/>
      <x:name val="Aptos Narrow"/>
    </x:font>
    <x:font>
      <x:b/>
      <x:sz val="12"/>
      <x:color rgb="FFFFFFFF"/>
      <x:name val="Aptos"/>
    </x:font>
    <x:font>
      <x:b/>
      <x:sz val="11"/>
      <x:color rgb="FFFFFFFF"/>
      <x:name val="Aptos"/>
    </x:font>
    <x:font>
      <x:sz val="10"/>
      <x:color rgb="FF222222"/>
      <x:name val="Aptos"/>
    </x:font>
    <x:font>
      <x:b/>
      <x:sz val="10"/>
      <x:color rgb="FF3F2943"/>
      <x:name val="Aptos"/>
    </x:font>
    <x:font>
      <x:b/>
      <x:sz val="10"/>
      <x:color rgb="FF222222"/>
      <x:name val="Aptos"/>
    </x:font>
    <x:font>
      <x:b/>
      <x:sz val="10"/>
      <x:color rgb="FF9C0006"/>
      <x:name val="Aptos"/>
    </x:font>
    <x:font>
      <x:b/>
      <x:sz val="10"/>
      <x:color rgb="FFFFFFFF"/>
      <x:name val="Aptos"/>
    </x:font>
    <x:font>
      <x:b/>
      <x:sz val="11"/>
      <x:color rgb="FF3F2943"/>
      <x:name val="Aptos Narrow"/>
    </x:font>
    <x:font>
      <x:b/>
      <x:sz val="11"/>
      <x:color rgb="FFFFFFFF"/>
      <x:name val="Aptos Narrow"/>
    </x:font>
  </x:fonts>
  <x:fills count="1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2E2E2E"/>
      </x:patternFill>
    </x:fill>
    <x:fill>
      <x:patternFill patternType="solid">
        <x:fgColor theme="1" tint="0.24998"/>
      </x:patternFill>
    </x:fill>
    <x:fill>
      <x:patternFill patternType="solid">
        <x:fgColor theme="0" tint="-0.04999"/>
      </x:patternFill>
    </x:fill>
    <x:fill>
      <x:patternFill patternType="solid">
        <x:fgColor rgb="FFEEE5F0"/>
      </x:patternFill>
    </x:fill>
    <x:fill>
      <x:patternFill patternType="solid">
        <x:fgColor rgb="FF1F6F8B"/>
      </x:patternFill>
    </x:fill>
    <x:fill>
      <x:patternFill patternType="solid">
        <x:fgColor rgb="FF563657"/>
      </x:patternFill>
    </x:fill>
    <x:fill>
      <x:patternFill patternType="solid">
        <x:fgColor rgb="FFFFFFFF"/>
      </x:patternFill>
    </x:fill>
    <x:fill>
      <x:patternFill patternType="solid">
        <x:fgColor rgb="FFDCEFF7"/>
      </x:patternFill>
    </x:fill>
    <x:fill>
      <x:patternFill patternType="solid">
        <x:fgColor rgb="FFFFF2CC"/>
      </x:patternFill>
    </x:fill>
    <x:fill>
      <x:patternFill patternType="solid">
        <x:fgColor rgb="FFE8F3EA"/>
      </x:patternFill>
    </x:fill>
    <x:fill>
      <x:patternFill patternType="solid">
        <x:fgColor rgb="FFFCE8E6"/>
      </x:patternFill>
    </x:fill>
    <x:fill>
      <x:patternFill patternType="solid">
        <x:fgColor rgb="FFA23B3B"/>
      </x:patternFill>
    </x:fill>
    <x:fill>
      <x:patternFill patternType="solid">
        <x:fgColor rgb="FF3F2943"/>
      </x:patternFill>
    </x:fill>
  </x:fills>
  <x:borders count="1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9" fontId="2" fillId="0" borderId="0" applyFont="0" applyFill="0" applyBorder="0" applyAlignment="0" applyProtection="0"/>
  </x:cellStyleXfs>
  <x:cellXfs count="207">
    <x:xf numFmtId="0" fontId="0" fillId="0" borderId="0" xfId="0"/>
    <x:xf numFmtId="0" fontId="1" fillId="0" borderId="0" xfId="0" applyFont="1"/>
    <x:xf numFmtId="9" fontId="0" fillId="0" borderId="0" xfId="1" applyFont="1"/>
    <x:xf numFmtId="9" fontId="0" fillId="0" borderId="0" xfId="0" applyNumberFormat="1"/>
    <x:xf numFmtId="10" fontId="0" fillId="0" borderId="0" xfId="1" applyNumberFormat="1" applyFont="1" applyAlignment="1">
      <x:alignment vertical="center" wrapText="1"/>
    </x:xf>
    <x:xf numFmtId="10" fontId="0" fillId="0" borderId="0" xfId="1" applyNumberFormat="1" applyFont="1"/>
    <x:xf numFmtId="10" fontId="0" fillId="0" borderId="0" xfId="0" applyNumberFormat="1"/>
    <x:xf numFmtId="164" fontId="0" fillId="0" borderId="0" xfId="0" applyNumberFormat="1"/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0" fillId="0" borderId="0" xfId="0" applyAlignment="1">
      <x:alignment vertical="center" wrapText="1"/>
    </x:xf>
    <x:xf numFmtId="16" fontId="0" fillId="0" borderId="0" xfId="0" applyNumberFormat="1" applyAlignment="1">
      <x:alignment vertical="center" wrapText="1"/>
    </x:xf>
    <x:xf numFmtId="10" fontId="0" fillId="0" borderId="0" xfId="0" applyNumberFormat="1" applyAlignment="1">
      <x:alignment vertical="center" wrapText="1"/>
    </x:xf>
    <x:xf numFmtId="14" fontId="0" fillId="0" borderId="0" xfId="0" applyNumberFormat="1"/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0" fontId="8" fillId="0" borderId="0" xfId="0" applyFont="1"/>
    <x:xf numFmtId="0" fontId="9" fillId="0" borderId="0" xfId="0" applyFont="1"/>
    <x:xf numFmtId="0" fontId="10" fillId="0" borderId="0" xfId="0" applyFont="1" applyAlignment="1">
      <x:alignment vertical="center"/>
    </x:xf>
    <x:xf numFmtId="0" fontId="11" fillId="0" borderId="0" xfId="0" applyFont="1"/>
    <x:xf numFmtId="0" fontId="12" fillId="0" borderId="0" xfId="0" applyFont="1"/>
    <x:xf numFmtId="0" fontId="1" fillId="0" borderId="0" xfId="0" applyFont="1" applyAlignment="1">
      <x:alignment vertical="center" wrapText="1"/>
    </x:xf>
    <x:xf numFmtId="0" fontId="0" fillId="0" borderId="0" xfId="0"/>
    <x:xf numFmtId="0" fontId="0" fillId="0" borderId="0" xfId="0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17" fontId="0" fillId="0" borderId="0" xfId="0" applyNumberFormat="1" applyAlignment="1">
      <x:alignment vertical="center" wrapText="1"/>
    </x:xf>
    <x:xf numFmtId="17" fontId="0" fillId="0" borderId="0" xfId="0" applyNumberFormat="1"/>
    <x:xf numFmtId="9" fontId="1" fillId="0" borderId="0" xfId="0" applyNumberFormat="1" applyFont="1" applyAlignment="1">
      <x:alignment vertical="center" wrapText="1"/>
    </x:xf>
    <x:xf numFmtId="1" fontId="0" fillId="0" borderId="0" xfId="0" applyNumberFormat="1" applyAlignment="1">
      <x:alignment vertical="center" wrapText="1"/>
    </x:xf>
    <x:xf numFmtId="1" fontId="0" fillId="0" borderId="0" xfId="0" applyNumberFormat="1"/>
    <x:xf numFmtId="9" fontId="0" fillId="0" borderId="0" xfId="0" applyNumberFormat="1"/>
    <x:xf numFmtId="10" fontId="0" fillId="0" borderId="0" xfId="0" applyNumberFormat="1" applyAlignment="1">
      <x:alignment vertical="center" wrapText="1"/>
    </x:xf>
    <x:xf numFmtId="10" fontId="0" fillId="0" borderId="0" xfId="0" applyNumberFormat="1"/>
    <x:xf numFmtId="10" fontId="0" fillId="0" borderId="0" xfId="1" applyNumberFormat="1" applyFont="1"/>
    <x:xf numFmtId="0" fontId="0" fillId="0" borderId="0" xfId="0" applyAlignment="1">
      <x:alignment vertical="center"/>
    </x:xf>
    <x:xf numFmtId="14" fontId="0" fillId="0" borderId="0" xfId="0" applyNumberFormat="1" applyAlignment="1">
      <x:alignment horizontal="left" vertical="center" wrapText="1"/>
    </x:xf>
    <x:xf numFmtId="0" fontId="0" fillId="0" borderId="0" xfId="0" applyAlignment="1">
      <x:alignment wrapText="1"/>
    </x:xf>
    <x:xf numFmtId="0" fontId="15" fillId="0" borderId="0" xfId="0" applyFont="1"/>
    <x:xf numFmtId="0" fontId="16" fillId="0" borderId="0" xfId="0" applyFont="1"/>
    <x:xf numFmtId="0" fontId="13" fillId="4" borderId="1" xfId="0" applyFont="1" applyFill="1" applyBorder="1"/>
    <x:xf numFmtId="0" fontId="4" fillId="5" borderId="2" xfId="0" applyFont="1" applyFill="1" applyBorder="1" applyAlignment="1">
      <x:alignment vertical="center" wrapText="1"/>
    </x:xf>
    <x:xf numFmtId="0" fontId="4" fillId="5" borderId="3" xfId="0" applyFont="1" applyFill="1" applyBorder="1" applyAlignment="1">
      <x:alignment vertical="center" wrapText="1"/>
    </x:xf>
    <x:xf numFmtId="0" fontId="0" fillId="5" borderId="3" xfId="0" applyFill="1" applyBorder="1" applyAlignment="1">
      <x:alignment horizontal="center" wrapText="1"/>
    </x:xf>
    <x:xf numFmtId="0" fontId="0" fillId="5" borderId="3" xfId="0" applyFill="1" applyBorder="1" applyAlignment="1">
      <x:alignment horizontal="center"/>
    </x:xf>
    <x:xf numFmtId="9" fontId="0" fillId="5" borderId="3" xfId="0" applyNumberFormat="1" applyFill="1" applyBorder="1" applyAlignment="1">
      <x:alignment horizontal="center"/>
    </x:xf>
    <x:xf numFmtId="14" fontId="0" fillId="5" borderId="4" xfId="0" applyNumberFormat="1" applyFill="1" applyBorder="1" applyAlignment="1">
      <x:alignment horizontal="center"/>
    </x:xf>
    <x:xf numFmtId="0" fontId="5" fillId="3" borderId="0" xfId="0" applyFont="1" applyFill="1" applyAlignment="1">
      <x:alignment vertical="center" wrapText="1"/>
    </x:xf>
    <x:xf numFmtId="10" fontId="6" fillId="2" borderId="0" xfId="0" applyNumberFormat="1" applyFont="1" applyFill="1" applyAlignment="1">
      <x:alignment vertical="center" wrapText="1"/>
    </x:xf>
    <x:xf numFmtId="0" fontId="13" fillId="4" borderId="5" xfId="0" applyFont="1" applyFill="1" applyBorder="1" applyAlignment="1">
      <x:alignment wrapText="1"/>
    </x:xf>
    <x:xf numFmtId="0" fontId="14" fillId="4" borderId="6" xfId="0" applyFont="1" applyFill="1" applyBorder="1" applyAlignment="1">
      <x:alignment wrapText="1"/>
    </x:xf>
    <x:xf numFmtId="0" fontId="7" fillId="3" borderId="0" xfId="0" applyFont="1" applyFill="1" applyAlignment="1">
      <x:alignment vertical="center" wrapText="1"/>
    </x:xf>
    <x:xf numFmtId="0" fontId="13" fillId="4" borderId="1" xfId="0" applyFont="1" applyFill="1" applyBorder="1" applyAlignment="1">
      <x:alignment vertical="center" wrapText="1"/>
    </x:xf>
    <x:xf numFmtId="0" fontId="17" fillId="0" borderId="0" xfId="0" applyFont="1" applyAlignment="1">
      <x:alignment horizontal="left" vertical="center" wrapText="1"/>
    </x:xf>
    <x:xf numFmtId="0" fontId="0" fillId="0" borderId="0" xfId="0" applyAlignment="1"/>
    <x:xf numFmtId="0" fontId="17" fillId="0" borderId="0" xfId="0" applyFont="1" applyAlignment="1">
      <x:alignment wrapText="1"/>
    </x:xf>
    <x:xf numFmtId="0" fontId="18" fillId="0" borderId="0" xfId="0" applyFont="1" applyAlignment="1">
      <x:alignment wrapText="1"/>
    </x:xf>
    <x:xf numFmtId="0" fontId="19" fillId="6" borderId="0" xfId="0" applyFont="1" applyFill="1" applyAlignment="1">
      <x:alignment horizontal="center" vertical="center" wrapText="1"/>
    </x:xf>
    <x:xf numFmtId="0" fontId="17" fillId="0" borderId="0" xfId="0" applyFont="1"/>
    <x:xf numFmtId="0" fontId="21" fillId="8" borderId="0" xfId="0" applyFont="1" applyFill="1" applyAlignment="1">
      <x:alignment horizontal="center" vertical="center" wrapText="1"/>
    </x:xf>
    <x:xf numFmtId="0" fontId="22" fillId="9" borderId="0" xfId="0" applyFont="1" applyFill="1" applyAlignment="1">
      <x:alignment vertical="center" wrapText="1"/>
    </x:xf>
    <x:xf numFmtId="0" fontId="20" fillId="7" borderId="0" xfId="0" applyFont="1" applyFill="1" applyAlignment="1">
      <x:alignment vertical="center" wrapText="1"/>
    </x:xf>
    <x:xf numFmtId="0" fontId="22" fillId="9" borderId="0" xfId="0" applyFont="1" applyFill="1" applyAlignment="1">
      <x:alignment vertical="center" wrapText="1"/>
    </x:xf>
    <x:xf numFmtId="0" fontId="23" fillId="10" borderId="0" xfId="0" applyFont="1" applyFill="1" applyAlignment="1">
      <x:alignment horizontal="center" vertical="center" wrapText="1"/>
    </x:xf>
    <x:xf numFmtId="0" fontId="23" fillId="10" borderId="0" xfId="0" applyFont="1" applyFill="1" applyAlignment="1">
      <x:alignment horizontal="center" vertical="center" wrapText="1"/>
    </x:xf>
    <x:xf numFmtId="0" fontId="23" fillId="11" borderId="0" xfId="0" applyFont="1" applyFill="1" applyAlignment="1">
      <x:alignment horizontal="center" vertical="center" wrapText="1"/>
    </x:xf>
    <x:xf numFmtId="0" fontId="24" fillId="12" borderId="0" xfId="0" applyFont="1" applyFill="1" applyAlignment="1">
      <x:alignment vertical="center" wrapText="1"/>
    </x:xf>
    <x:xf numFmtId="0" fontId="25" fillId="13" borderId="0" xfId="0" applyFont="1" applyFill="1" applyAlignment="1">
      <x:alignment horizontal="center" vertical="center" wrapText="1"/>
    </x:xf>
    <x:xf numFmtId="0" fontId="26" fillId="8" borderId="0" xfId="0" applyFont="1" applyFill="1" applyAlignment="1">
      <x:alignment horizontal="center" vertical="center" wrapText="1"/>
    </x:xf>
    <x:xf numFmtId="0" fontId="20" fillId="8" borderId="0" xfId="0" applyFont="1" applyFill="1" applyAlignment="1">
      <x:alignment vertical="center" wrapText="1"/>
    </x:xf>
    <x:xf numFmtId="0" fontId="20" fillId="14" borderId="0" xfId="0" applyFont="1" applyFill="1" applyAlignment="1">
      <x:alignment vertical="center" wrapText="1"/>
    </x:xf>
    <x:xf numFmtId="0" fontId="25" fillId="13" borderId="0" xfId="0" applyFont="1" applyFill="1" applyAlignment="1">
      <x:alignment vertical="center" wrapText="1"/>
    </x:xf>
    <x:xf numFmtId="0" fontId="23" fillId="10" borderId="0" xfId="0" applyFont="1" applyFill="1" applyAlignment="1">
      <x:alignment vertical="center" wrapText="1"/>
    </x:xf>
    <x:xf numFmtId="0" fontId="27" fillId="10" borderId="0" xfId="0" applyFont="1" applyFill="1"/>
    <x:xf numFmtId="0" fontId="28" fillId="15" borderId="0" xfId="0" applyFont="1" applyFill="1" applyAlignment="1">
      <x:alignment horizontal="center"/>
    </x:xf>
    <x:xf numFmtId="0" fontId="0" fillId="0" borderId="7" xfId="0" applyNumberFormat="1" applyFont="1" applyFill="1" applyBorder="1"/>
    <x:xf numFmtId="0" fontId="1" fillId="0" borderId="7" xfId="0" applyNumberFormat="1" applyFont="1" applyFill="1" applyBorder="1"/>
    <x:xf numFmtId="9" fontId="0" fillId="0" borderId="7" xfId="0" applyNumberFormat="1" applyFont="1" applyFill="1" applyBorder="1"/>
    <x:xf numFmtId="10" fontId="0" fillId="0" borderId="7" xfId="0" applyNumberFormat="1" applyFont="1" applyFill="1" applyBorder="1" applyAlignment="1">
      <x:alignment vertical="center" wrapText="1"/>
    </x:xf>
    <x:xf numFmtId="10" fontId="0" fillId="0" borderId="7" xfId="0" applyNumberFormat="1" applyFont="1" applyFill="1" applyBorder="1"/>
    <x:xf numFmtId="164" fontId="0" fillId="0" borderId="7" xfId="0" applyNumberFormat="1" applyFont="1" applyFill="1" applyBorder="1"/>
    <x:xf numFmtId="0" fontId="1" fillId="0" borderId="7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16" fontId="0" fillId="0" borderId="7" xfId="0" applyNumberFormat="1" applyFont="1" applyFill="1" applyBorder="1" applyAlignment="1">
      <x:alignment vertical="center" wrapText="1"/>
    </x:xf>
    <x:xf numFmtId="14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164" fontId="0" fillId="0" borderId="7" xfId="0" applyNumberFormat="1" applyFont="1" applyFill="1" applyBorder="1" applyAlignment="1">
      <x:alignment wrapText="1"/>
    </x:xf>
    <x:xf numFmtId="0" fontId="8" fillId="0" borderId="7" xfId="0" applyNumberFormat="1" applyFont="1" applyFill="1" applyBorder="1"/>
    <x:xf numFmtId="0" fontId="9" fillId="0" borderId="7" xfId="0" applyNumberFormat="1" applyFont="1" applyFill="1" applyBorder="1"/>
    <x:xf numFmtId="0" fontId="10" fillId="0" borderId="7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/>
    <x:xf numFmtId="0" fontId="12" fillId="0" borderId="7" xfId="0" applyNumberFormat="1" applyFont="1" applyFill="1" applyBorder="1"/>
    <x:xf numFmtId="17" fontId="0" fillId="0" borderId="7" xfId="0" applyNumberFormat="1" applyFont="1" applyFill="1" applyBorder="1" applyAlignment="1">
      <x:alignment vertical="center" wrapText="1"/>
    </x:xf>
    <x:xf numFmtId="17" fontId="0" fillId="0" borderId="7" xfId="0" applyNumberFormat="1" applyFont="1" applyFill="1" applyBorder="1"/>
    <x:xf numFmtId="9" fontId="1" fillId="0" borderId="7" xfId="0" applyNumberFormat="1" applyFont="1" applyFill="1" applyBorder="1" applyAlignment="1">
      <x:alignment vertical="center" wrapText="1"/>
    </x:xf>
    <x:xf numFmtId="1" fontId="0" fillId="0" borderId="7" xfId="0" applyNumberFormat="1" applyFont="1" applyFill="1" applyBorder="1" applyAlignment="1">
      <x:alignment vertical="center" wrapText="1"/>
    </x:xf>
    <x:xf numFmtId="1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14" fontId="0" fillId="0" borderId="7" xfId="0" applyNumberFormat="1" applyFont="1" applyFill="1" applyBorder="1" applyAlignment="1">
      <x:alignment horizontal="left" vertical="center" wrapText="1"/>
    </x:xf>
    <x:xf numFmtId="0" fontId="15" fillId="0" borderId="7" xfId="0" applyNumberFormat="1" applyFont="1" applyFill="1" applyBorder="1"/>
    <x:xf numFmtId="0" fontId="16" fillId="0" borderId="7" xfId="0" applyNumberFormat="1" applyFont="1" applyFill="1" applyBorder="1"/>
    <x:xf numFmtId="0" fontId="13" fillId="4" borderId="8" xfId="0" applyNumberFormat="1" applyFont="1" applyFill="1" applyBorder="1"/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horizontal="center" wrapText="1"/>
    </x:xf>
    <x:xf numFmtId="0" fontId="0" fillId="5" borderId="10" xfId="0" applyNumberFormat="1" applyFont="1" applyFill="1" applyBorder="1" applyAlignment="1">
      <x:alignment horizontal="center"/>
    </x:xf>
    <x:xf numFmtId="9" fontId="0" fillId="5" borderId="10" xfId="0" applyNumberFormat="1" applyFont="1" applyFill="1" applyBorder="1" applyAlignment="1">
      <x:alignment horizontal="center"/>
    </x:xf>
    <x:xf numFmtId="14" fontId="0" fillId="5" borderId="11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vertical="center" wrapText="1"/>
    </x:xf>
    <x:xf numFmtId="10" fontId="6" fillId="2" borderId="7" xfId="0" applyNumberFormat="1" applyFont="1" applyFill="1" applyBorder="1" applyAlignment="1">
      <x:alignment vertical="center" wrapText="1"/>
    </x:xf>
    <x:xf numFmtId="0" fontId="13" fillId="4" borderId="12" xfId="0" applyNumberFormat="1" applyFont="1" applyFill="1" applyBorder="1" applyAlignment="1">
      <x:alignment wrapText="1"/>
    </x:xf>
    <x:xf numFmtId="0" fontId="14" fillId="4" borderId="13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vertical="center" wrapText="1"/>
    </x:xf>
    <x:xf numFmtId="0" fontId="13" fillId="4" borderId="8" xfId="0" applyNumberFormat="1" applyFont="1" applyFill="1" applyBorder="1" applyAlignment="1">
      <x:alignment vertical="center" wrapText="1"/>
    </x:xf>
    <x:xf numFmtId="0" fontId="17" fillId="0" borderId="7" xfId="0" applyNumberFormat="1" applyFont="1" applyFill="1" applyBorder="1" applyAlignment="1">
      <x:alignment horizontal="left" vertical="center" wrapText="1"/>
    </x:xf>
    <x:xf numFmtId="0" fontId="17" fillId="0" borderId="7" xfId="0" applyNumberFormat="1" applyFont="1" applyFill="1" applyBorder="1" applyAlignment="1">
      <x:alignment wrapText="1"/>
    </x:xf>
    <x:xf numFmtId="0" fontId="18" fillId="0" borderId="7" xfId="0" applyNumberFormat="1" applyFont="1" applyFill="1" applyBorder="1" applyAlignment="1">
      <x:alignment wrapText="1"/>
    </x:xf>
    <x:xf numFmtId="0" fontId="19" fillId="6" borderId="7" xfId="0" applyNumberFormat="1" applyFont="1" applyFill="1" applyBorder="1" applyAlignment="1">
      <x:alignment horizontal="center" vertical="center" wrapText="1"/>
    </x:xf>
    <x:xf numFmtId="0" fontId="17" fillId="0" borderId="7" xfId="0" applyNumberFormat="1" applyFont="1" applyFill="1" applyBorder="1"/>
    <x:xf numFmtId="0" fontId="21" fillId="8" borderId="7" xfId="0" applyNumberFormat="1" applyFont="1" applyFill="1" applyBorder="1" applyAlignment="1">
      <x:alignment horizontal="center" vertical="center" wrapText="1"/>
    </x:xf>
    <x:xf numFmtId="0" fontId="22" fillId="9" borderId="7" xfId="0" applyNumberFormat="1" applyFont="1" applyFill="1" applyBorder="1" applyAlignment="1">
      <x:alignment vertical="center" wrapText="1"/>
    </x:xf>
    <x:xf numFmtId="0" fontId="20" fillId="7" borderId="7" xfId="0" applyNumberFormat="1" applyFont="1" applyFill="1" applyBorder="1" applyAlignment="1">
      <x:alignment vertical="center" wrapText="1"/>
    </x:xf>
    <x:xf numFmtId="0" fontId="23" fillId="10" borderId="7" xfId="0" applyNumberFormat="1" applyFont="1" applyFill="1" applyBorder="1" applyAlignment="1">
      <x:alignment horizontal="center" vertical="center" wrapText="1"/>
    </x:xf>
    <x:xf numFmtId="0" fontId="23" fillId="11" borderId="7" xfId="0" applyNumberFormat="1" applyFont="1" applyFill="1" applyBorder="1" applyAlignment="1">
      <x:alignment horizontal="center" vertical="center" wrapText="1"/>
    </x:xf>
    <x:xf numFmtId="0" fontId="24" fillId="12" borderId="7" xfId="0" applyNumberFormat="1" applyFont="1" applyFill="1" applyBorder="1" applyAlignment="1">
      <x:alignment vertical="center" wrapText="1"/>
    </x:xf>
    <x:xf numFmtId="0" fontId="25" fillId="13" borderId="7" xfId="0" applyNumberFormat="1" applyFont="1" applyFill="1" applyBorder="1" applyAlignment="1">
      <x:alignment horizontal="center" vertical="center" wrapText="1"/>
    </x:xf>
    <x:xf numFmtId="0" fontId="26" fillId="8" borderId="7" xfId="0" applyNumberFormat="1" applyFont="1" applyFill="1" applyBorder="1" applyAlignment="1">
      <x:alignment horizontal="center" vertical="center" wrapText="1"/>
    </x:xf>
    <x:xf numFmtId="0" fontId="20" fillId="8" borderId="7" xfId="0" applyNumberFormat="1" applyFont="1" applyFill="1" applyBorder="1" applyAlignment="1">
      <x:alignment vertical="center" wrapText="1"/>
    </x:xf>
    <x:xf numFmtId="0" fontId="20" fillId="14" borderId="7" xfId="0" applyNumberFormat="1" applyFont="1" applyFill="1" applyBorder="1" applyAlignment="1">
      <x:alignment vertical="center" wrapText="1"/>
    </x:xf>
    <x:xf numFmtId="0" fontId="25" fillId="13" borderId="7" xfId="0" applyNumberFormat="1" applyFont="1" applyFill="1" applyBorder="1" applyAlignment="1">
      <x:alignment vertical="center" wrapText="1"/>
    </x:xf>
    <x:xf numFmtId="0" fontId="23" fillId="10" borderId="7" xfId="0" applyNumberFormat="1" applyFont="1" applyFill="1" applyBorder="1" applyAlignment="1">
      <x:alignment vertical="center" wrapText="1"/>
    </x:xf>
    <x:xf numFmtId="0" fontId="27" fillId="10" borderId="7" xfId="0" applyNumberFormat="1" applyFont="1" applyFill="1" applyBorder="1"/>
    <x:xf numFmtId="0" fontId="28" fillId="15" borderId="7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9" fontId="0" fillId="0" borderId="0" xfId="0" applyNumberFormat="1" applyFont="1" applyFill="1" applyBorder="1"/>
    <x:xf numFmtId="10" fontId="0" fillId="0" borderId="0" xfId="0" applyNumberFormat="1" applyFont="1" applyFill="1" applyBorder="1" applyAlignment="1">
      <x:alignment vertical="center" wrapText="1"/>
    </x:xf>
    <x:xf numFmtId="1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16" fontId="0" fillId="0" borderId="0" xfId="0" applyNumberFormat="1" applyFont="1" applyFill="1" applyBorder="1" applyAlignment="1">
      <x:alignment vertical="center" wrapText="1"/>
    </x:xf>
    <x:xf numFmtId="1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17" fontId="0" fillId="0" borderId="0" xfId="0" applyNumberFormat="1" applyFont="1" applyFill="1" applyBorder="1" applyAlignment="1">
      <x:alignment vertical="center" wrapText="1"/>
    </x:xf>
    <x:xf numFmtId="17" fontId="0" fillId="0" borderId="0" xfId="0" applyNumberFormat="1" applyFont="1" applyFill="1" applyBorder="1"/>
    <x:xf numFmtId="9" fontId="1" fillId="0" borderId="0" xfId="0" applyNumberFormat="1" applyFont="1" applyFill="1" applyBorder="1" applyAlignment="1">
      <x:alignment vertical="center" wrapText="1"/>
    </x:xf>
    <x:xf numFmtId="1" fontId="0" fillId="0" borderId="0" xfId="0" applyNumberFormat="1" applyFont="1" applyFill="1" applyBorder="1" applyAlignment="1">
      <x:alignment vertical="center" wrapText="1"/>
    </x:xf>
    <x:xf numFmtId="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14" fontId="0" fillId="0" borderId="0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3" fillId="4" borderId="1" xfId="0" applyNumberFormat="1" applyFont="1" applyFill="1" applyBorder="1"/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horizontal="center" wrapText="1"/>
    </x:xf>
    <x:xf numFmtId="0" fontId="0" fillId="5" borderId="3" xfId="0" applyNumberFormat="1" applyFont="1" applyFill="1" applyBorder="1" applyAlignment="1">
      <x:alignment horizontal="center"/>
    </x:xf>
    <x:xf numFmtId="9" fontId="0" fillId="5" borderId="3" xfId="0" applyNumberFormat="1" applyFont="1" applyFill="1" applyBorder="1" applyAlignment="1">
      <x:alignment horizontal="center"/>
    </x:xf>
    <x:xf numFmtId="14" fontId="0" fillId="5" borderId="4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vertical="center" wrapText="1"/>
    </x:xf>
    <x:xf numFmtId="10" fontId="6" fillId="2" borderId="0" xfId="0" applyNumberFormat="1" applyFont="1" applyFill="1" applyBorder="1" applyAlignment="1">
      <x:alignment vertical="center" wrapText="1"/>
    </x:xf>
    <x:xf numFmtId="0" fontId="13" fillId="4" borderId="5" xfId="0" applyNumberFormat="1" applyFont="1" applyFill="1" applyBorder="1" applyAlignment="1">
      <x:alignment wrapText="1"/>
    </x:xf>
    <x:xf numFmtId="0" fontId="14" fillId="4" borderId="6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13" fillId="4" borderId="1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horizontal="left" vertical="center" wrapText="1"/>
    </x:xf>
    <x:xf numFmtId="0" fontId="17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/>
    <x:xf numFmtId="0" fontId="21" fillId="8" borderId="0" xfId="0" applyNumberFormat="1" applyFont="1" applyFill="1" applyBorder="1" applyAlignment="1">
      <x:alignment horizontal="center" vertical="center" wrapText="1"/>
    </x:xf>
    <x:xf numFmtId="0" fontId="22" fillId="9" borderId="0" xfId="0" applyNumberFormat="1" applyFont="1" applyFill="1" applyBorder="1" applyAlignment="1">
      <x:alignment vertical="center" wrapText="1"/>
    </x:xf>
    <x:xf numFmtId="0" fontId="20" fillId="7" borderId="0" xfId="0" applyNumberFormat="1" applyFont="1" applyFill="1" applyBorder="1" applyAlignment="1">
      <x:alignment vertical="center" wrapText="1"/>
    </x:xf>
    <x:xf numFmtId="0" fontId="23" fillId="10" borderId="0" xfId="0" applyNumberFormat="1" applyFont="1" applyFill="1" applyBorder="1" applyAlignment="1">
      <x:alignment horizontal="center" vertical="center" wrapText="1"/>
    </x:xf>
    <x:xf numFmtId="0" fontId="23" fillId="11" borderId="0" xfId="0" applyNumberFormat="1" applyFont="1" applyFill="1" applyBorder="1" applyAlignment="1">
      <x:alignment horizontal="center" vertical="center" wrapText="1"/>
    </x:xf>
    <x:xf numFmtId="0" fontId="24" fillId="12" borderId="0" xfId="0" applyNumberFormat="1" applyFont="1" applyFill="1" applyBorder="1" applyAlignment="1">
      <x:alignment vertical="center" wrapText="1"/>
    </x:xf>
    <x:xf numFmtId="0" fontId="25" fillId="13" borderId="0" xfId="0" applyNumberFormat="1" applyFont="1" applyFill="1" applyBorder="1" applyAlignment="1">
      <x:alignment horizontal="center" vertical="center" wrapText="1"/>
    </x:xf>
    <x:xf numFmtId="0" fontId="26" fillId="8" borderId="0" xfId="0" applyNumberFormat="1" applyFont="1" applyFill="1" applyBorder="1" applyAlignment="1">
      <x:alignment horizontal="center" vertical="center" wrapText="1"/>
    </x:xf>
    <x:xf numFmtId="0" fontId="20" fillId="8" borderId="0" xfId="0" applyNumberFormat="1" applyFont="1" applyFill="1" applyBorder="1" applyAlignment="1">
      <x:alignment vertical="center" wrapText="1"/>
    </x:xf>
    <x:xf numFmtId="0" fontId="20" fillId="14" borderId="0" xfId="0" applyNumberFormat="1" applyFont="1" applyFill="1" applyBorder="1" applyAlignment="1">
      <x:alignment vertical="center" wrapText="1"/>
    </x:xf>
    <x:xf numFmtId="0" fontId="25" fillId="13" borderId="0" xfId="0" applyNumberFormat="1" applyFont="1" applyFill="1" applyBorder="1" applyAlignment="1">
      <x:alignment vertical="center" wrapText="1"/>
    </x:xf>
    <x:xf numFmtId="0" fontId="23" fillId="10" borderId="0" xfId="0" applyNumberFormat="1" applyFont="1" applyFill="1" applyBorder="1" applyAlignment="1">
      <x:alignment vertical="center" wrapText="1"/>
    </x:xf>
    <x:xf numFmtId="0" fontId="27" fillId="10" borderId="0" xfId="0" applyNumberFormat="1" applyFont="1" applyFill="1" applyBorder="1"/>
    <x:xf numFmtId="0" fontId="28" fillId="15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13" fillId="4" borderId="1" xfId="0" applyNumberFormat="1" applyFont="1" applyFill="1" applyBorder="1"/>
    <x:xf numFmtId="201" fontId="6" fillId="2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</x:cellXfs>
  <x:cellStyles count="2">
    <x:cellStyle name="Normal" xfId="0"/>
    <x:cellStyle name="Percent" xfId="1"/>
  </x:cellStyles>
  <x:dxfs count="42">
    <x:dxf>
      <x:numFmt numFmtId="14" formatCode="0.00%"/>
    </x:dxf>
    <x:dxf>
      <x:numFmt numFmtId="21" formatCode="d\-mmm"/>
    </x:dxf>
    <x:dxf/>
    <x:dxf/>
    <x:dxf>
      <x:font>
        <x:b/>
        <x:u val="none"/>
        <x:sz val="11"/>
        <x:color theme="1"/>
        <x:name val="Aptos Narrow"/>
        <x:family val="2"/>
        <x:scheme val="minor"/>
      </x:font>
    </x:dxf>
    <x:dxf/>
    <x:dxf/>
    <x:dxf/>
    <x:dxf>
      <x:font>
        <x:b/>
        <x:u val="none"/>
        <x:sz val="11"/>
        <x:color theme="1"/>
        <x:name val="Aptos Narrow"/>
        <x:family val="2"/>
        <x:scheme val="minor"/>
      </x:font>
      <x:numFmt numFmtId="13" formatCode="0%"/>
    </x:dxf>
    <x:dxf/>
    <x:dxf>
      <x:font>
        <x:b/>
        <x:u val="none"/>
        <x:sz val="11"/>
        <x:color theme="1"/>
        <x:name val="Aptos Narrow"/>
        <x:family val="2"/>
        <x:scheme val="minor"/>
      </x:font>
    </x:dxf>
    <x:dxf>
      <x:numFmt numFmtId="14" formatCode="0.00%"/>
    </x:dxf>
    <x:dxf>
      <x:numFmt numFmtId="14" formatCode="0.00%"/>
    </x:dxf>
    <x:dxf/>
    <x:dxf/>
    <x:dxf>
      <x:numFmt numFmtId="13" formatCode="0%"/>
    </x:dxf>
    <x:dxf>
      <x:numFmt numFmtId="1" formatCode="0"/>
    </x:dxf>
    <x:dxf>
      <x:numFmt numFmtId="1" formatCode="0"/>
    </x:dxf>
    <x:dxf>
      <x:numFmt numFmtId="13" formatCode="0%"/>
    </x:dxf>
    <x:dxf>
      <x:numFmt numFmtId="1" formatCode="0"/>
    </x:dxf>
    <x:dxf>
      <x:numFmt numFmtId="1" formatCode="0"/>
    </x:dxf>
    <x:dxf>
      <x:numFmt numFmtId="0" formatCode="General"/>
    </x:dxf>
    <x:dxf>
      <x:numFmt numFmtId="22" formatCode="mmm\-yy"/>
    </x:dxf>
    <x:dxf/>
    <x:dxf/>
    <x:dxf/>
    <x:dxf>
      <x:font>
        <x:b/>
        <x:u val="none"/>
        <x:sz val="11"/>
        <x:color theme="1"/>
        <x:name val="Aptos Narrow"/>
        <x:family val="2"/>
        <x:scheme val="minor"/>
      </x:font>
    </x:dxf>
    <x:dxf>
      <x:font>
        <x:b/>
        <x:u val="none"/>
        <x:sz val="11"/>
        <x:color theme="1"/>
        <x:name val="Aptos Narrow"/>
        <x:family val="2"/>
        <x:scheme val="minor"/>
      </x:font>
    </x:dxf>
    <x:dxf>
      <x:font>
        <x:b/>
        <x:u val="none"/>
        <x:sz val="11"/>
        <x:color theme="1"/>
        <x:name val="Aptos Narrow"/>
        <x:family val="2"/>
        <x:scheme val="minor"/>
      </x:font>
    </x:dxf>
    <x:dxf/>
    <x:dxf>
      <x:font>
        <x:b/>
        <x:u val="none"/>
        <x:sz val="11"/>
        <x:color theme="1"/>
        <x:name val="Aptos Narrow"/>
        <x:family val="2"/>
        <x:scheme val="minor"/>
      </x:font>
    </x:dxf>
    <x:dxf>
      <x:font>
        <x:color rgb="FFC66A99"/>
      </x:font>
    </x:dxf>
    <x:dxf>
      <x:fill>
        <x:patternFill>
          <x:bgColor rgb="FFF4E8EE"/>
        </x:patternFill>
      </x:fill>
    </x:dxf>
    <x:dxf>
      <x:fill>
        <x:patternFill>
          <x:bgColor rgb="FFE8D2DE"/>
        </x:patternFill>
      </x:fill>
    </x:dxf>
    <x:dxf>
      <x:fill>
        <x:patternFill>
          <x:bgColor rgb="FF563757"/>
        </x:patternFill>
      </x:fill>
    </x:dxf>
    <x:dxf>
      <x:font>
        <x:b/>
        <x:color rgb="FF3A2438"/>
      </x:font>
    </x:dxf>
    <x:dxf>
      <x:font>
        <x:color rgb="FF2E2E2E"/>
      </x:font>
      <x:fill>
        <x:patternFill>
          <x:bgColor rgb="FFFCF9FC"/>
        </x:patternFill>
      </x:fill>
    </x:dxf>
    <x:dxf>
      <x:font>
        <x:color rgb="FF2E2E2E"/>
      </x:font>
    </x:dxf>
    <x:dxf>
      <x:font>
        <x:b/>
        <x:color theme="0"/>
      </x:font>
      <x:fill>
        <x:patternFill>
          <x:bgColor rgb="FF563757"/>
        </x:patternFill>
      </x:fill>
    </x:dxf>
    <x:dxf>
      <x:font>
        <x:b/>
        <x:color theme="0"/>
      </x:font>
      <x:fill>
        <x:patternFill>
          <x:bgColor rgb="FF563757"/>
        </x:patternFill>
      </x:fill>
    </x:dxf>
    <x:dxf>
      <x:font>
        <x:color auto="1"/>
      </x:font>
      <x:fill>
        <x:patternFill>
          <x:bgColor theme="0"/>
        </x:patternFill>
      </x:fill>
    </x:dxf>
    <x:dxf>
      <x:font>
        <x:color rgb="FF2E2E2E"/>
      </x:font>
      <x:fill>
        <x:patternFill>
          <x:bgColor theme="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2f5c6f18c4ea4" /><Relationship Type="http://schemas.openxmlformats.org/officeDocument/2006/relationships/theme" Target="/xl/theme/theme1.xml" Id="R0649cdfdaa7c4a09" /><Relationship Type="http://schemas.openxmlformats.org/officeDocument/2006/relationships/sheetMetadata" Target="/xl/metadata1.xml" Id="R63c1c1f4066c4f05" /><Relationship Type="http://schemas.openxmlformats.org/officeDocument/2006/relationships/sharedStrings" Target="/xl/sharedStrings.xml" Id="Rade7080cc51a4de2" /><Relationship Type="http://schemas.openxmlformats.org/officeDocument/2006/relationships/worksheet" Target="/xl/worksheets/sheet1.xml" Id="R0bda07613d0e4616" /><Relationship Type="http://schemas.openxmlformats.org/officeDocument/2006/relationships/worksheet" Target="/xl/worksheets/sheet2.xml" Id="R0a23a72b10f84e2c" /><Relationship Type="http://schemas.openxmlformats.org/officeDocument/2006/relationships/worksheet" Target="/xl/worksheets/sheet3.xml" Id="R966c064c33e44d87" /><Relationship Type="http://schemas.openxmlformats.org/officeDocument/2006/relationships/worksheet" Target="/xl/worksheets/sheet4.xml" Id="Ra8d98b1acaf047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53df74648b463c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7"/>
    </mc:Choice>
    <mc:Fallback>
      <c:style val="7"/>
    </mc:Fallback>
  </mc:AlternateContent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'Employee Workspace'!$AL$20</c:f>
              <c:strCache>
                <c:ptCount val="1"/>
                <c:pt idx="0">
                  <c:v>Weighted Performance Score</c:v>
                </c:pt>
              </c:strCache>
            </c:strRef>
          </c:tx>
          <c:spPr>
            <a:ln xmlns:a="http://schemas.openxmlformats.org/drawingml/2006/main" w="22225">
              <a:solidFill>
                <a:srgbClr val="D1A7BB"/>
              </a:solidFill>
            </a:ln>
          </c:spPr>
          <c:marker>
            <c:symbol val="none"/>
          </c:marker>
          <c:dPt>
            <c:idx val="10"/>
            <c:spPr>
              <a:ln xmlns:a="http://schemas.openxmlformats.org/drawingml/2006/main" w="31750">
                <a:solidFill>
                  <a:srgbClr val="D1A7BB"/>
                </a:solidFill>
              </a:ln>
            </c:spPr>
          </c:dPt>
          <c:dLbls>
            <c:delete val="1"/>
          </c:dLbls>
          <c:cat>
            <c:numRef>
              <c:f>'Employee Workspace'!$AK$21:$AK$32</c:f>
              <c:numCache>
                <c:formatCode>mmm</c:formatCode>
                <c:ptCount val="25"/>
                <c:pt idx="0">
                  <c:v>46198</c:v>
                </c:pt>
                <c:pt idx="1">
                  <c:v>46228</c:v>
                </c:pt>
                <c:pt idx="2">
                  <c:v>46259</c:v>
                </c:pt>
                <c:pt idx="3">
                  <c:v>46290</c:v>
                </c:pt>
                <c:pt idx="4">
                  <c:v>46320</c:v>
                </c:pt>
                <c:pt idx="5">
                  <c:v>46351</c:v>
                </c:pt>
                <c:pt idx="6">
                  <c:v>46381</c:v>
                </c:pt>
                <c:pt idx="7">
                  <c:v>46048</c:v>
                </c:pt>
                <c:pt idx="8">
                  <c:v>46079</c:v>
                </c:pt>
                <c:pt idx="9">
                  <c:v>46107</c:v>
                </c:pt>
                <c:pt idx="10">
                  <c:v>46138</c:v>
                </c:pt>
                <c:pt idx="11">
                  <c:v>46168</c:v>
                </c:pt>
                <c:pt idx="12">
                  <c:v>46199</c:v>
                </c:pt>
                <c:pt idx="13">
                  <c:v>46229</c:v>
                </c:pt>
              </c:numCache>
            </c:numRef>
          </c:cat>
          <c:val>
            <c:numRef>
              <c:f>'Employee Workspace'!$AL$21:$AL$32</c:f>
              <c:numCache>
                <c:formatCode>0.00%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0.3046</c:v>
                </c:pt>
                <c:pt idx="8">
                  <c:v>0.7835</c:v>
                </c:pt>
                <c:pt idx="9">
                  <c:v>0.791</c:v>
                </c:pt>
                <c:pt idx="10">
                  <c:v>0.3835</c:v>
                </c:pt>
                <c:pt idx="11">
                  <c:v>0.6375</c:v>
                </c:pt>
                <c:pt idx="12">
                  <c:v>0.7235</c:v>
                </c:pt>
                <c:pt idx="13">
                  <c:v>0.6845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1746353071"/>
        <c:axId val="1746354031"/>
      </c:lineChart>
      <c:dateAx>
        <c:axId val="1746353071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bg1"/>
                </a:solidFill>
                <a:latin typeface="+mn-lt"/>
                <a:ea typeface="+mn-lt"/>
                <a:cs typeface="+mn-lt"/>
              </a:defRPr>
            </a:pPr>
          </a:p>
        </c:txPr>
        <c:crossAx val="1746354031"/>
        <c:crosses val="autoZero"/>
        <c:auto val="1"/>
        <c:lblOffset val="100"/>
      </c:dateAx>
      <c:valAx>
        <c:axId val="1746354031"/>
        <c:scaling>
          <c:orientation val="minMax"/>
        </c:scaling>
        <c:delete val="0"/>
        <c:axPos val="l"/>
        <c:majorGridlines>
          <c:spPr>
            <a:ln xmlns:a="http://schemas.openxmlformats.org/drawingml/2006/main" w="12700" cmpd="sng">
              <a:solidFill>
                <a:srgbClr val="D1A7BB">
                  <a:alpha val="32000"/>
                </a:srgb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bg1"/>
                </a:solidFill>
                <a:latin typeface="+mn-lt"/>
                <a:ea typeface="+mn-lt"/>
                <a:cs typeface="+mn-lt"/>
              </a:defRPr>
            </a:pPr>
          </a:p>
        </c:txPr>
        <c:crossAx val="1746353071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noFill xmlns:a="http://schemas.openxmlformats.org/drawingml/2006/main"/>
    <a:ln xmlns:a="http://schemas.openxmlformats.org/drawingml/2006/main" w="9525" cmpd="sng">
      <a:noFill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244930</xdr:colOff>
      <xdr:row>35</xdr:row>
      <xdr:rowOff>68036</xdr:rowOff>
    </xdr:from>
    <xdr:to>
      <xdr:col>25</xdr:col>
      <xdr:colOff>217714</xdr:colOff>
      <xdr:row>51</xdr:row>
      <xdr:rowOff>13607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53df74648b463c"/>
        </a:graphicData>
      </a:graphic>
    </xdr:graphicFrame>
    <xdr:clientData/>
  </xdr:twoCellAnchor>
  <xdr:twoCellAnchor editAs="oneCell">
    <xdr:from>
      <xdr:col>0</xdr:col>
      <xdr:colOff>63499</xdr:colOff>
      <xdr:row>0</xdr:row>
      <xdr:rowOff>31750</xdr:rowOff>
    </xdr:from>
    <xdr:to>
      <xdr:col>7</xdr:col>
      <xdr:colOff>111124</xdr:colOff>
      <xdr:row>21</xdr:row>
      <xdr:rowOff>142875</xdr:rowOff>
    </xdr:to>
    <xdr:sp>
      <xdr:nvSpPr>
        <xdr:cNvPr id="2" name="KPI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3499" y="31750"/>
          <a:ext cx="4333875" cy="411162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1"/>
        </a:solidFill>
      </xdr:spPr>
      <x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100" b="0" i="0" u="none">
              <a:solidFill>
                <a:srgbClr val="000000"/>
              </a:solidFill>
              <a:latin typeface="Aptos Narrow"/>
              <a:ea typeface="Aptos Narrow"/>
              <a:cs typeface="Aptos Narrow"/>
            </a:rPr>
            <a:t> </a:t>
          </a:r>
          <a:endParaRPr/>
        </a:p>
      </xdr:txBody>
    </xdr:sp>
    <xdr:clientData/>
  </xdr:twoCellAnchor>
  <xdr:twoCellAnchor editAs="oneCell">
    <xdr:from>
      <xdr:col>13</xdr:col>
      <xdr:colOff>498929</xdr:colOff>
      <xdr:row>23</xdr:row>
      <xdr:rowOff>60476</xdr:rowOff>
    </xdr:from>
    <xdr:to>
      <xdr:col>25</xdr:col>
      <xdr:colOff>332619</xdr:colOff>
      <xdr:row>32</xdr:row>
      <xdr:rowOff>15117</xdr:rowOff>
    </xdr:to>
    <xdr:sp>
      <xdr:nvSpPr>
        <xdr:cNvPr id="3" name="Header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360834" y="4581071"/>
          <a:ext cx="7090833" cy="172357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1"/>
        </a:solidFill>
      </xdr:spPr>
      <x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438453</xdr:colOff>
      <xdr:row>23</xdr:row>
      <xdr:rowOff>30241</xdr:rowOff>
    </xdr:from>
    <xdr:to>
      <xdr:col>12</xdr:col>
      <xdr:colOff>272143</xdr:colOff>
      <xdr:row>31</xdr:row>
      <xdr:rowOff>181430</xdr:rowOff>
    </xdr:to>
    <xdr:sp>
      <xdr:nvSpPr>
        <xdr:cNvPr id="4" name="Header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38453" y="4550836"/>
          <a:ext cx="7090833" cy="172357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1"/>
        </a:solidFill>
      </xdr:spPr>
      <x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331107</xdr:colOff>
      <xdr:row>2</xdr:row>
      <xdr:rowOff>102999</xdr:rowOff>
    </xdr:from>
    <xdr:to>
      <xdr:col>26</xdr:col>
      <xdr:colOff>552221</xdr:colOff>
      <xdr:row>9</xdr:row>
      <xdr:rowOff>101298</xdr:rowOff>
    </xdr:to>
    <xdr:sp>
      <xdr:nvSpPr>
        <xdr:cNvPr id="5" name="Header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564440" y="496094"/>
          <a:ext cx="11711591" cy="1374133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1"/>
        </a:solidFill>
      </xdr:spPr>
      <x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14</xdr:col>
      <xdr:colOff>539749</xdr:colOff>
      <xdr:row>16</xdr:row>
      <xdr:rowOff>113395</xdr:rowOff>
    </xdr:from>
    <xdr:to>
      <xdr:col>19</xdr:col>
      <xdr:colOff>254001</xdr:colOff>
      <xdr:row>21</xdr:row>
      <xdr:rowOff>179161</xdr:rowOff>
    </xdr:to>
    <xdr:sp>
      <xdr:nvSpPr>
        <xdr:cNvPr id="6" name="KPI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12249" y="3161395"/>
          <a:ext cx="2775859" cy="1018266"/>
        </a:xfrm>
        <a:prstGeom xmlns:a="http://schemas.openxmlformats.org/drawingml/2006/main" prst="roundRect">
          <a:avLst/>
        </a:prstGeom>
        <a:ln xmlns:a="http://schemas.openxmlformats.org/drawingml/2006/main">
          <a:solidFill>
            <a:schemeClr val="tx1"/>
          </a:solidFill>
        </a:ln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11336</xdr:colOff>
      <xdr:row>10</xdr:row>
      <xdr:rowOff>108859</xdr:rowOff>
    </xdr:from>
    <xdr:to>
      <xdr:col>16</xdr:col>
      <xdr:colOff>444500</xdr:colOff>
      <xdr:row>16</xdr:row>
      <xdr:rowOff>15875</xdr:rowOff>
    </xdr:to>
    <xdr:sp>
      <xdr:nvSpPr>
        <xdr:cNvPr id="7" name="KPI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250336" y="2013859"/>
          <a:ext cx="2846164" cy="1050016"/>
        </a:xfrm>
        <a:prstGeom xmlns:a="http://schemas.openxmlformats.org/drawingml/2006/main" prst="roundRect">
          <a:avLst/>
        </a:prstGeom>
        <a:ln xmlns:a="http://schemas.openxmlformats.org/drawingml/2006/main">
          <a:solidFill>
            <a:sysClr val="windowText" lastClr="000000"/>
          </a:solidFill>
        </a:ln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16</xdr:col>
      <xdr:colOff>509133</xdr:colOff>
      <xdr:row>10</xdr:row>
      <xdr:rowOff>111125</xdr:rowOff>
    </xdr:from>
    <xdr:to>
      <xdr:col>21</xdr:col>
      <xdr:colOff>174624</xdr:colOff>
      <xdr:row>16</xdr:row>
      <xdr:rowOff>1</xdr:rowOff>
    </xdr:to>
    <xdr:sp>
      <xdr:nvSpPr>
        <xdr:cNvPr id="8" name="KPI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161133" y="2016125"/>
          <a:ext cx="2681741" cy="1031876"/>
        </a:xfrm>
        <a:prstGeom xmlns:a="http://schemas.openxmlformats.org/drawingml/2006/main" prst="roundRect">
          <a:avLst/>
        </a:prstGeom>
        <a:ln xmlns:a="http://schemas.openxmlformats.org/drawingml/2006/main">
          <a:solidFill>
            <a:sysClr val="windowText" lastClr="000000"/>
          </a:solidFill>
        </a:ln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21</xdr:col>
      <xdr:colOff>440532</xdr:colOff>
      <xdr:row>10</xdr:row>
      <xdr:rowOff>127000</xdr:rowOff>
    </xdr:from>
    <xdr:to>
      <xdr:col>26</xdr:col>
      <xdr:colOff>460375</xdr:colOff>
      <xdr:row>22</xdr:row>
      <xdr:rowOff>31749</xdr:rowOff>
    </xdr:to>
    <xdr:sp>
      <xdr:nvSpPr>
        <xdr:cNvPr id="9" name="KPI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108782" y="2032000"/>
          <a:ext cx="3036093" cy="2190749"/>
        </a:xfrm>
        <a:prstGeom xmlns:a="http://schemas.openxmlformats.org/drawingml/2006/main" prst="roundRect">
          <a:avLst/>
        </a:prstGeom>
        <a:ln xmlns:a="http://schemas.openxmlformats.org/drawingml/2006/main" w="38100">
          <a:solidFill>
            <a:sysClr val="windowText" lastClr="000000"/>
          </a:solidFill>
        </a:ln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ctr">
            <a:buNone/>
          </a:pPr>
          <a:br/>
          <a:r>
            <a:rPr sz="4000" b="1" i="0" u="none">
              <a:solidFill>
                <a:srgbClr val="000000"/>
              </a:solidFill>
              <a:latin typeface="Aptos Narrow"/>
              <a:ea typeface="Aptos Narrow"/>
              <a:cs typeface="Aptos Narrow"/>
            </a:rPr>
            <a:t> </a:t>
          </a:r>
          <a:endParaRPr/>
        </a:p>
      </xdr:txBody>
    </xdr:sp>
    <xdr:clientData/>
  </xdr:twoCellAnchor>
  <xdr:twoCellAnchor editAs="oneCell">
    <xdr:from>
      <xdr:col>8</xdr:col>
      <xdr:colOff>153081</xdr:colOff>
      <xdr:row>2</xdr:row>
      <xdr:rowOff>116606</xdr:rowOff>
    </xdr:from>
    <xdr:to>
      <xdr:col>12</xdr:col>
      <xdr:colOff>438452</xdr:colOff>
      <xdr:row>5</xdr:row>
      <xdr:rowOff>15120</xdr:rowOff>
    </xdr:to>
    <xdr:sp>
      <xdr:nvSpPr>
        <xdr:cNvPr id="10" name="TextBox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991176" y="509701"/>
          <a:ext cx="2704419" cy="488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400" b="1">
              <a:solidFill>
                <a:schemeClr val="bg1"/>
              </a:solidFill>
            </a:rPr>
            <a:t>Next Career Goal</a:t>
          </a:r>
          <a:endParaRPr/>
        </a:p>
      </xdr:txBody>
    </xdr:sp>
    <xdr:clientData/>
  </xdr:twoCellAnchor>
  <xdr:twoCellAnchor editAs="oneCell">
    <xdr:from>
      <xdr:col>13</xdr:col>
      <xdr:colOff>335076</xdr:colOff>
      <xdr:row>2</xdr:row>
      <xdr:rowOff>82400</xdr:rowOff>
    </xdr:from>
    <xdr:to>
      <xdr:col>19</xdr:col>
      <xdr:colOff>423334</xdr:colOff>
      <xdr:row>5</xdr:row>
      <xdr:rowOff>90715</xdr:rowOff>
    </xdr:to>
    <xdr:sp>
      <xdr:nvSpPr>
        <xdr:cNvPr id="11" name="TextBox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196981" y="475495"/>
          <a:ext cx="3716829" cy="5979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400" b="1">
              <a:solidFill>
                <a:schemeClr val="bg1"/>
              </a:solidFill>
            </a:rPr>
            <a:t>Career Highlights</a:t>
          </a:r>
          <a:endParaRPr/>
        </a:p>
      </xdr:txBody>
    </xdr:sp>
    <xdr:clientData/>
  </xdr:twoCellAnchor>
  <xdr:twoCellAnchor editAs="oneCell">
    <xdr:from>
      <xdr:col>20</xdr:col>
      <xdr:colOff>217714</xdr:colOff>
      <xdr:row>2</xdr:row>
      <xdr:rowOff>84289</xdr:rowOff>
    </xdr:from>
    <xdr:to>
      <xdr:col>25</xdr:col>
      <xdr:colOff>476250</xdr:colOff>
      <xdr:row>5</xdr:row>
      <xdr:rowOff>6804</xdr:rowOff>
    </xdr:to>
    <xdr:sp>
      <xdr:nvSpPr>
        <xdr:cNvPr id="12" name="TextBox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312952" y="477384"/>
          <a:ext cx="3282346" cy="5121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400" b="1">
              <a:solidFill>
                <a:schemeClr val="bg1"/>
              </a:solidFill>
              <a:latin typeface="+mn-lt"/>
              <a:ea typeface="+mn-lt"/>
              <a:cs typeface="+mn-lt"/>
            </a:rPr>
            <a:t>Promotions</a:t>
          </a:r>
          <a:endParaRPr/>
        </a:p>
        <a:p xmlns:a="http://schemas.openxmlformats.org/drawingml/2006/main">
          <a:endParaRPr/>
        </a:p>
      </xdr:txBody>
    </xdr:sp>
    <xdr:clientData/>
  </xdr:twoCellAnchor>
  <xdr:twoCellAnchor editAs="oneCell">
    <xdr:from>
      <xdr:col>15</xdr:col>
      <xdr:colOff>88447</xdr:colOff>
      <xdr:row>16</xdr:row>
      <xdr:rowOff>122463</xdr:rowOff>
    </xdr:from>
    <xdr:to>
      <xdr:col>19</xdr:col>
      <xdr:colOff>136071</xdr:colOff>
      <xdr:row>19</xdr:row>
      <xdr:rowOff>13606</xdr:rowOff>
    </xdr:to>
    <xdr:sp>
      <xdr:nvSpPr>
        <xdr:cNvPr id="13" name="TextBox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273268" y="3170463"/>
          <a:ext cx="2496910" cy="4626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marL="0" indent="0" algn="ctr">
            <a:lnSpc>
              <a:spcPct val="100000"/>
            </a:lnSpc>
            <a:buNone/>
          </a:pPr>
          <a:r>
            <a:rPr sz="2800" b="1">
              <a:solidFill>
                <a:sysClr val="windowText" lastClr="000000"/>
              </a:solidFill>
              <a:latin typeface="+mn-lt"/>
              <a:ea typeface="+mn-lt"/>
              <a:cs typeface="+mn-lt"/>
            </a:rPr>
            <a:t>Quality Rate</a:t>
          </a:r>
          <a:endParaRPr/>
        </a:p>
      </xdr:txBody>
    </xdr:sp>
    <xdr:clientData/>
  </xdr:twoCellAnchor>
  <xdr:twoCellAnchor editAs="oneCell">
    <xdr:from>
      <xdr:col>12</xdr:col>
      <xdr:colOff>178594</xdr:colOff>
      <xdr:row>10</xdr:row>
      <xdr:rowOff>122465</xdr:rowOff>
    </xdr:from>
    <xdr:to>
      <xdr:col>16</xdr:col>
      <xdr:colOff>285750</xdr:colOff>
      <xdr:row>13</xdr:row>
      <xdr:rowOff>1</xdr:rowOff>
    </xdr:to>
    <xdr:sp>
      <xdr:nvSpPr>
        <xdr:cNvPr id="14" name="TextBox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526451" y="2027465"/>
          <a:ext cx="2556442" cy="4490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800" b="1">
              <a:solidFill>
                <a:sysClr val="windowText" lastClr="000000"/>
              </a:solidFill>
            </a:rPr>
            <a:t>Retention</a:t>
          </a:r>
          <a:endParaRPr/>
        </a:p>
      </xdr:txBody>
    </xdr:sp>
    <xdr:clientData/>
  </xdr:twoCellAnchor>
  <xdr:twoCellAnchor editAs="oneCell">
    <xdr:from>
      <xdr:col>16</xdr:col>
      <xdr:colOff>583406</xdr:colOff>
      <xdr:row>10</xdr:row>
      <xdr:rowOff>119063</xdr:rowOff>
    </xdr:from>
    <xdr:to>
      <xdr:col>21</xdr:col>
      <xdr:colOff>142875</xdr:colOff>
      <xdr:row>13</xdr:row>
      <xdr:rowOff>13607</xdr:rowOff>
    </xdr:to>
    <xdr:sp>
      <xdr:nvSpPr>
        <xdr:cNvPr id="15" name="TextBox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380549" y="2024063"/>
          <a:ext cx="2621076" cy="4660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800" b="1">
              <a:solidFill>
                <a:sysClr val="windowText" lastClr="000000"/>
              </a:solidFill>
            </a:rPr>
            <a:t>Follow-Up Rate</a:t>
          </a:r>
          <a:endParaRPr/>
        </a:p>
      </xdr:txBody>
    </xdr:sp>
    <xdr:clientData/>
  </xdr:twoCellAnchor>
  <xdr:twoCellAnchor editAs="oneCell">
    <xdr:from>
      <xdr:col>22</xdr:col>
      <xdr:colOff>89014</xdr:colOff>
      <xdr:row>10</xdr:row>
      <xdr:rowOff>163285</xdr:rowOff>
    </xdr:from>
    <xdr:to>
      <xdr:col>26</xdr:col>
      <xdr:colOff>163286</xdr:colOff>
      <xdr:row>16</xdr:row>
      <xdr:rowOff>0</xdr:rowOff>
    </xdr:to>
    <xdr:sp>
      <xdr:nvSpPr>
        <xdr:cNvPr id="16" name="TextBox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560085" y="2068285"/>
          <a:ext cx="2523558" cy="9797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800" b="1" u="sng">
              <a:solidFill>
                <a:sysClr val="windowText" lastClr="000000"/>
              </a:solidFill>
            </a:rPr>
            <a:t>Weighted Score</a:t>
          </a:r>
          <a:endParaRPr/>
        </a:p>
      </xdr:txBody>
    </xdr:sp>
    <xdr:clientData/>
  </xdr:twoCellAnchor>
  <xdr:twoCellAnchor editAs="oneCell">
    <xdr:from>
      <xdr:col>0</xdr:col>
      <xdr:colOff>407080</xdr:colOff>
      <xdr:row>33</xdr:row>
      <xdr:rowOff>113959</xdr:rowOff>
    </xdr:from>
    <xdr:to>
      <xdr:col>12</xdr:col>
      <xdr:colOff>108856</xdr:colOff>
      <xdr:row>51</xdr:row>
      <xdr:rowOff>125866</xdr:rowOff>
    </xdr:to>
    <xdr:sp>
      <xdr:nvSpPr>
        <xdr:cNvPr id="17" name="Chart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07080" y="6400459"/>
          <a:ext cx="7049633" cy="344090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1"/>
        </a:solidFill>
      </xdr:spPr>
      <x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100" b="0" i="1" u="none">
              <a:solidFill>
                <a:srgbClr val="000000"/>
              </a:solidFill>
              <a:latin typeface="Aptos Narrow"/>
              <a:ea typeface="Aptos Narrow"/>
              <a:cs typeface="Aptos Narrow"/>
            </a:rPr>
            <a:t> </a:t>
          </a:r>
          <a:endParaRPr/>
        </a:p>
      </xdr:txBody>
    </xdr:sp>
    <xdr:clientData/>
  </xdr:twoCellAnchor>
  <xdr:twoCellAnchor editAs="oneCell">
    <xdr:from>
      <xdr:col>13</xdr:col>
      <xdr:colOff>357188</xdr:colOff>
      <xdr:row>33</xdr:row>
      <xdr:rowOff>103187</xdr:rowOff>
    </xdr:from>
    <xdr:to>
      <xdr:col>26</xdr:col>
      <xdr:colOff>119061</xdr:colOff>
      <xdr:row>51</xdr:row>
      <xdr:rowOff>32883</xdr:rowOff>
    </xdr:to>
    <xdr:sp>
      <xdr:nvSpPr>
        <xdr:cNvPr id="18" name="Chart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317367" y="6389687"/>
          <a:ext cx="7722051" cy="335869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1"/>
        </a:solidFill>
      </xdr:spPr>
      <x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endParaRPr/>
        </a:p>
      </xdr:txBody>
    </xdr:sp>
    <xdr:clientData/>
  </xdr:twoCellAnchor>
  <xdr:twoCellAnchor editAs="oneCell">
    <xdr:from>
      <xdr:col>3</xdr:col>
      <xdr:colOff>467179</xdr:colOff>
      <xdr:row>1</xdr:row>
      <xdr:rowOff>79375</xdr:rowOff>
    </xdr:from>
    <xdr:to>
      <xdr:col>7</xdr:col>
      <xdr:colOff>1</xdr:colOff>
      <xdr:row>6</xdr:row>
      <xdr:rowOff>149678</xdr:rowOff>
    </xdr:to>
    <xdr:sp>
      <xdr:nvSpPr>
        <xdr:cNvPr id="19" name="TextBox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04143" y="269875"/>
          <a:ext cx="1982108" cy="10228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80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Jordan Ellis</a:t>
          </a:r>
          <a:endParaRPr/>
        </a:p>
      </xdr:txBody>
    </xdr:sp>
    <xdr:clientData/>
  </xdr:twoCellAnchor>
  <xdr:twoCellAnchor editAs="oneCell">
    <xdr:from>
      <xdr:col>7</xdr:col>
      <xdr:colOff>269874</xdr:colOff>
      <xdr:row>10</xdr:row>
      <xdr:rowOff>111125</xdr:rowOff>
    </xdr:from>
    <xdr:to>
      <xdr:col>11</xdr:col>
      <xdr:colOff>539749</xdr:colOff>
      <xdr:row>16</xdr:row>
      <xdr:rowOff>1</xdr:rowOff>
    </xdr:to>
    <xdr:sp>
      <xdr:nvSpPr>
        <xdr:cNvPr id="20" name="KPI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492624" y="2016125"/>
          <a:ext cx="2682875" cy="10318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ysClr val="windowText" lastClr="000000"/>
          </a:solidFill>
        </a:ln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178595</xdr:colOff>
      <xdr:row>10</xdr:row>
      <xdr:rowOff>123031</xdr:rowOff>
    </xdr:from>
    <xdr:to>
      <xdr:col>12</xdr:col>
      <xdr:colOff>47625</xdr:colOff>
      <xdr:row>13</xdr:row>
      <xdr:rowOff>23812</xdr:rowOff>
    </xdr:to>
    <xdr:sp>
      <xdr:nvSpPr>
        <xdr:cNvPr id="21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429126" y="2028031"/>
          <a:ext cx="2905124" cy="4722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800" b="1">
              <a:solidFill>
                <a:sysClr val="windowText" lastClr="000000"/>
              </a:solidFill>
            </a:rPr>
            <a:t>Core Product</a:t>
          </a:r>
          <a:endParaRPr/>
        </a:p>
      </xdr:txBody>
    </xdr:sp>
    <xdr:clientData/>
  </xdr:twoCellAnchor>
  <xdr:twoCellAnchor editAs="oneCell">
    <xdr:from>
      <xdr:col>9</xdr:col>
      <xdr:colOff>433161</xdr:colOff>
      <xdr:row>16</xdr:row>
      <xdr:rowOff>142875</xdr:rowOff>
    </xdr:from>
    <xdr:to>
      <xdr:col>14</xdr:col>
      <xdr:colOff>90715</xdr:colOff>
      <xdr:row>22</xdr:row>
      <xdr:rowOff>31751</xdr:rowOff>
    </xdr:to>
    <xdr:sp>
      <xdr:nvSpPr>
        <xdr:cNvPr id="22" name="KPI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944054" y="3190875"/>
          <a:ext cx="2719161" cy="1031876"/>
        </a:xfrm>
        <a:prstGeom xmlns:a="http://schemas.openxmlformats.org/drawingml/2006/main" prst="roundRect">
          <a:avLst/>
        </a:prstGeom>
        <a:ln xmlns:a="http://schemas.openxmlformats.org/drawingml/2006/main">
          <a:solidFill>
            <a:sysClr val="windowText" lastClr="000000"/>
          </a:solidFill>
        </a:ln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81643</xdr:colOff>
      <xdr:row>16</xdr:row>
      <xdr:rowOff>145144</xdr:rowOff>
    </xdr:from>
    <xdr:to>
      <xdr:col>13</xdr:col>
      <xdr:colOff>435428</xdr:colOff>
      <xdr:row>19</xdr:row>
      <xdr:rowOff>108858</xdr:rowOff>
    </xdr:to>
    <xdr:sp>
      <xdr:nvSpPr>
        <xdr:cNvPr id="23" name="TextBox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204857" y="3193144"/>
          <a:ext cx="2190750" cy="5352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800" b="1">
              <a:solidFill>
                <a:sysClr val="windowText" lastClr="000000"/>
              </a:solidFill>
            </a:rPr>
            <a:t>Secondary Product</a:t>
          </a:r>
          <a:endParaRPr/>
        </a:p>
      </xdr:txBody>
    </xdr:sp>
    <xdr:clientData/>
  </xdr:twoCellAnchor>
  <xdr:oneCellAnchor>
    <xdr:from>
      <xdr:col>3</xdr:col>
      <xdr:colOff>408214</xdr:colOff>
      <xdr:row>8</xdr:row>
      <xdr:rowOff>122465</xdr:rowOff>
    </xdr:from>
    <xdr:ext cx="2041072" cy="449035"/>
    <xdr:sp>
      <xdr:nvSpPr>
        <xdr:cNvPr id="24" name="TextBox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245178" y="1646465"/>
          <a:ext cx="2041072" cy="449035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t">
          <a:noAutofit/>
        </a:bodyPr>
        <a:lstStyle xmlns:a="http://schemas.openxmlformats.org/drawingml/2006/main"/>
        <a:p xmlns:a="http://schemas.openxmlformats.org/drawingml/2006/main">
          <a:pPr algn="ctr">
            <a:buNone/>
          </a:pPr>
          <a:r>
            <a:rPr sz="200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Client Services Specialist</a:t>
          </a:r>
          <a:endParaRPr/>
        </a:p>
      </xdr:txBody>
    </xdr:sp>
    <xdr:clientData/>
  </xdr:oneCellAnchor>
  <xdr:twoCellAnchor editAs="oneCell">
    <xdr:from>
      <xdr:col>3</xdr:col>
      <xdr:colOff>479274</xdr:colOff>
      <xdr:row>13</xdr:row>
      <xdr:rowOff>68036</xdr:rowOff>
    </xdr:from>
    <xdr:to>
      <xdr:col>6</xdr:col>
      <xdr:colOff>533702</xdr:colOff>
      <xdr:row>16</xdr:row>
      <xdr:rowOff>0</xdr:rowOff>
    </xdr:to>
    <xdr:sp>
      <xdr:nvSpPr>
        <xdr:cNvPr id="25" name="TextBox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293560" y="2623155"/>
          <a:ext cx="1868713" cy="5216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400" b="0" i="0" u="none">
              <a:solidFill>
                <a:schemeClr val="bg2"/>
              </a:solidFill>
              <a:latin typeface="Aptos Narrow"/>
              <a:ea typeface="Aptos Narrow"/>
              <a:cs typeface="Aptos Narrow"/>
            </a:rPr>
            <a:t>Riverside Branch</a:t>
          </a:r>
          <a:endParaRPr/>
        </a:p>
      </xdr:txBody>
    </xdr:sp>
    <xdr:clientData/>
  </xdr:twoCellAnchor>
  <xdr:twoCellAnchor editAs="oneCell">
    <xdr:from>
      <xdr:col>8</xdr:col>
      <xdr:colOff>136071</xdr:colOff>
      <xdr:row>4</xdr:row>
      <xdr:rowOff>121330</xdr:rowOff>
    </xdr:from>
    <xdr:to>
      <xdr:col>12</xdr:col>
      <xdr:colOff>181428</xdr:colOff>
      <xdr:row>7</xdr:row>
      <xdr:rowOff>151192</xdr:rowOff>
    </xdr:to>
    <xdr:sp>
      <xdr:nvSpPr>
        <xdr:cNvPr id="26" name="TextBox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974166" y="907520"/>
          <a:ext cx="2464405" cy="6195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80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Senior Client Services Specialist</a:t>
          </a:r>
          <a:endParaRPr/>
        </a:p>
      </xdr:txBody>
    </xdr:sp>
    <xdr:clientData/>
  </xdr:twoCellAnchor>
  <xdr:twoCellAnchor editAs="oneCell">
    <xdr:from>
      <xdr:col>0</xdr:col>
      <xdr:colOff>557891</xdr:colOff>
      <xdr:row>17</xdr:row>
      <xdr:rowOff>122465</xdr:rowOff>
    </xdr:from>
    <xdr:to>
      <xdr:col>3</xdr:col>
      <xdr:colOff>149678</xdr:colOff>
      <xdr:row>20</xdr:row>
      <xdr:rowOff>163287</xdr:rowOff>
    </xdr:to>
    <xdr:sp>
      <xdr:nvSpPr>
        <xdr:cNvPr id="27" name="TextBox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57891" y="3360965"/>
          <a:ext cx="1428751" cy="61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400" b="0" i="1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Employee Since</a:t>
          </a:r>
          <a:endParaRPr/>
        </a:p>
        <a:p xmlns:a="http://schemas.openxmlformats.org/drawingml/2006/main">
          <a:pPr algn="ctr">
            <a:buNone/>
          </a:pPr>
          <a:r>
            <a:rPr sz="1400" b="0" i="1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January 2025</a:t>
          </a:r>
          <a:endParaRPr/>
        </a:p>
      </xdr:txBody>
    </xdr:sp>
    <xdr:clientData/>
  </xdr:twoCellAnchor>
  <xdr:twoCellAnchor editAs="oneCell">
    <xdr:from>
      <xdr:col>0</xdr:col>
      <xdr:colOff>586619</xdr:colOff>
      <xdr:row>23</xdr:row>
      <xdr:rowOff>113394</xdr:rowOff>
    </xdr:from>
    <xdr:to>
      <xdr:col>6</xdr:col>
      <xdr:colOff>232833</xdr:colOff>
      <xdr:row>26</xdr:row>
      <xdr:rowOff>86180</xdr:rowOff>
    </xdr:to>
    <xdr:sp>
      <xdr:nvSpPr>
        <xdr:cNvPr id="28" name="TextBox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86619" y="4633989"/>
          <a:ext cx="3274785" cy="562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3600">
              <a:solidFill>
                <a:schemeClr val="bg1"/>
              </a:solidFill>
            </a:rPr>
            <a:t>Recent Win:</a:t>
          </a:r>
          <a:endParaRPr/>
        </a:p>
      </xdr:txBody>
    </xdr:sp>
    <xdr:clientData/>
  </xdr:twoCellAnchor>
  <xdr:twoCellAnchor editAs="oneCell">
    <xdr:from>
      <xdr:col>14</xdr:col>
      <xdr:colOff>96762</xdr:colOff>
      <xdr:row>23</xdr:row>
      <xdr:rowOff>146654</xdr:rowOff>
    </xdr:from>
    <xdr:to>
      <xdr:col>19</xdr:col>
      <xdr:colOff>347739</xdr:colOff>
      <xdr:row>26</xdr:row>
      <xdr:rowOff>119440</xdr:rowOff>
    </xdr:to>
    <xdr:sp>
      <xdr:nvSpPr>
        <xdr:cNvPr id="29" name="TextBox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563429" y="4667249"/>
          <a:ext cx="3274786" cy="562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3600">
              <a:solidFill>
                <a:schemeClr val="bg1"/>
              </a:solidFill>
            </a:rPr>
            <a:t>Current Focus:</a:t>
          </a:r>
          <a:endParaRPr/>
        </a:p>
      </xdr:txBody>
    </xdr:sp>
    <xdr:clientData/>
  </xdr:twoCellAnchor>
  <xdr:oneCellAnchor>
    <xdr:from>
      <xdr:col>8</xdr:col>
      <xdr:colOff>367393</xdr:colOff>
      <xdr:row>1</xdr:row>
      <xdr:rowOff>40821</xdr:rowOff>
    </xdr:from>
    <xdr:ext cx="184731" cy="264560"/>
    <xdr:sp>
      <xdr:nvSpPr>
        <xdr:cNvPr id="30" name="TextBox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65964" y="231321"/>
          <a:ext cx="184731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oneCellAnchor>
  <xdr:twoCellAnchor editAs="oneCell">
    <xdr:from>
      <xdr:col>8</xdr:col>
      <xdr:colOff>438829</xdr:colOff>
      <xdr:row>12</xdr:row>
      <xdr:rowOff>164987</xdr:rowOff>
    </xdr:from>
    <xdr:to>
      <xdr:col>10</xdr:col>
      <xdr:colOff>585107</xdr:colOff>
      <xdr:row>15</xdr:row>
      <xdr:rowOff>40821</xdr:rowOff>
    </xdr:to>
    <xdr:sp>
      <xdr:nvSpPr>
        <xdr:cNvPr id="31" name="TextBox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337400" y="2450987"/>
          <a:ext cx="1370921" cy="4473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2400" b="1" i="1" u="none">
              <a:solidFill>
                <a:srgbClr val="000000"/>
              </a:solidFill>
              <a:latin typeface="Aptos Narrow"/>
              <a:ea typeface="Aptos Narrow"/>
              <a:cs typeface="Aptos Narrow"/>
            </a:rPr>
            <a:t>110.00%</a:t>
          </a:r>
          <a:endParaRPr/>
        </a:p>
      </xdr:txBody>
    </xdr:sp>
    <xdr:clientData/>
  </xdr:twoCellAnchor>
  <xdr:twoCellAnchor editAs="oneCell">
    <xdr:from>
      <xdr:col>13</xdr:col>
      <xdr:colOff>292555</xdr:colOff>
      <xdr:row>13</xdr:row>
      <xdr:rowOff>1702</xdr:rowOff>
    </xdr:from>
    <xdr:to>
      <xdr:col>15</xdr:col>
      <xdr:colOff>421822</xdr:colOff>
      <xdr:row>15</xdr:row>
      <xdr:rowOff>13609</xdr:rowOff>
    </xdr:to>
    <xdr:sp>
      <xdr:nvSpPr>
        <xdr:cNvPr id="32" name="TextBox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252734" y="2478202"/>
          <a:ext cx="1353909" cy="3929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2400" b="1" i="1" u="none">
              <a:solidFill>
                <a:srgbClr val="000000"/>
              </a:solidFill>
              <a:latin typeface="Aptos Narrow"/>
              <a:ea typeface="Aptos Narrow"/>
              <a:cs typeface="Aptos Narrow"/>
            </a:rPr>
            <a:t>94.00%</a:t>
          </a:r>
          <a:endParaRPr/>
        </a:p>
      </xdr:txBody>
    </xdr:sp>
    <xdr:clientData/>
  </xdr:twoCellAnchor>
  <xdr:twoCellAnchor editAs="oneCell">
    <xdr:from>
      <xdr:col>18</xdr:col>
      <xdr:colOff>113960</xdr:colOff>
      <xdr:row>12</xdr:row>
      <xdr:rowOff>180294</xdr:rowOff>
    </xdr:from>
    <xdr:to>
      <xdr:col>20</xdr:col>
      <xdr:colOff>231321</xdr:colOff>
      <xdr:row>15</xdr:row>
      <xdr:rowOff>96950</xdr:rowOff>
    </xdr:to>
    <xdr:sp>
      <xdr:nvSpPr>
        <xdr:cNvPr id="33" name="TextBox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135746" y="2466294"/>
          <a:ext cx="1342004" cy="4881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2400" b="1" i="1" u="none">
              <a:solidFill>
                <a:srgbClr val="000000"/>
              </a:solidFill>
              <a:latin typeface="Aptos Narrow"/>
              <a:ea typeface="Aptos Narrow"/>
              <a:cs typeface="Aptos Narrow"/>
            </a:rPr>
            <a:t>97.00%</a:t>
          </a:r>
          <a:endParaRPr/>
        </a:p>
      </xdr:txBody>
    </xdr:sp>
    <xdr:clientData/>
  </xdr:twoCellAnchor>
  <xdr:twoCellAnchor editAs="oneCell">
    <xdr:from>
      <xdr:col>16</xdr:col>
      <xdr:colOff>176892</xdr:colOff>
      <xdr:row>19</xdr:row>
      <xdr:rowOff>17007</xdr:rowOff>
    </xdr:from>
    <xdr:to>
      <xdr:col>18</xdr:col>
      <xdr:colOff>176892</xdr:colOff>
      <xdr:row>21</xdr:row>
      <xdr:rowOff>88444</xdr:rowOff>
    </xdr:to>
    <xdr:sp>
      <xdr:nvSpPr>
        <xdr:cNvPr id="34" name="TextBox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974035" y="3636507"/>
          <a:ext cx="1224643" cy="4524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2400" b="1" i="1" u="none">
              <a:solidFill>
                <a:srgbClr val="000000"/>
              </a:solidFill>
              <a:latin typeface="Aptos Narrow"/>
              <a:ea typeface="Aptos Narrow"/>
              <a:cs typeface="Aptos Narrow"/>
            </a:rPr>
            <a:t>93.00%</a:t>
          </a:r>
          <a:endParaRPr/>
        </a:p>
      </xdr:txBody>
    </xdr:sp>
    <xdr:clientData/>
  </xdr:twoCellAnchor>
  <xdr:twoCellAnchor editAs="oneCell">
    <xdr:from>
      <xdr:col>22</xdr:col>
      <xdr:colOff>523874</xdr:colOff>
      <xdr:row>16</xdr:row>
      <xdr:rowOff>61232</xdr:rowOff>
    </xdr:from>
    <xdr:to>
      <xdr:col>25</xdr:col>
      <xdr:colOff>514048</xdr:colOff>
      <xdr:row>20</xdr:row>
      <xdr:rowOff>15119</xdr:rowOff>
    </xdr:to>
    <xdr:sp>
      <xdr:nvSpPr>
        <xdr:cNvPr id="35" name="TextBox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828636" y="3205994"/>
          <a:ext cx="1804460" cy="7400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3000" b="1" i="1" u="none">
              <a:solidFill>
                <a:srgbClr val="4E2F4F">
                  <a:alpha val="50000"/>
                </a:srgbClr>
              </a:solidFill>
              <a:latin typeface="Aptos Narrow"/>
              <a:ea typeface="Aptos Narrow"/>
              <a:cs typeface="Aptos Narrow"/>
            </a:rPr>
            <a:t>102.05%</a:t>
          </a:r>
          <a:endParaRPr/>
        </a:p>
      </xdr:txBody>
    </xdr:sp>
    <xdr:clientData/>
  </xdr:twoCellAnchor>
  <xdr:twoCellAnchor editAs="oneCell">
    <xdr:from>
      <xdr:col>20</xdr:col>
      <xdr:colOff>232833</xdr:colOff>
      <xdr:row>4</xdr:row>
      <xdr:rowOff>86368</xdr:rowOff>
    </xdr:from>
    <xdr:to>
      <xdr:col>25</xdr:col>
      <xdr:colOff>518583</xdr:colOff>
      <xdr:row>8</xdr:row>
      <xdr:rowOff>122087</xdr:rowOff>
    </xdr:to>
    <xdr:sp>
      <xdr:nvSpPr>
        <xdr:cNvPr id="36" name="TextBox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328071" y="872558"/>
          <a:ext cx="3309560" cy="8219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40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Client Services Associate - Jan 2025</a:t>
          </a:r>
          <a:endParaRPr/>
        </a:p>
        <a:p xmlns:a="http://schemas.openxmlformats.org/drawingml/2006/main">
          <a:pPr algn="ctr">
            <a:buNone/>
          </a:pPr>
          <a:r>
            <a:rPr sz="140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Client Services Specialist - Jan 2026</a:t>
          </a:r>
          <a:endParaRPr/>
        </a:p>
      </xdr:txBody>
    </xdr:sp>
    <xdr:clientData/>
  </xdr:twoCellAnchor>
  <xdr:twoCellAnchor editAs="oneCell">
    <xdr:from>
      <xdr:col>10</xdr:col>
      <xdr:colOff>530679</xdr:colOff>
      <xdr:row>19</xdr:row>
      <xdr:rowOff>40821</xdr:rowOff>
    </xdr:from>
    <xdr:to>
      <xdr:col>13</xdr:col>
      <xdr:colOff>95250</xdr:colOff>
      <xdr:row>21</xdr:row>
      <xdr:rowOff>122464</xdr:rowOff>
    </xdr:to>
    <xdr:sp>
      <xdr:nvSpPr>
        <xdr:cNvPr id="37" name="TextBox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53893" y="3660321"/>
          <a:ext cx="1401536" cy="4626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2025" b="1" i="1" u="none">
              <a:solidFill>
                <a:srgbClr val="000000"/>
              </a:solidFill>
              <a:latin typeface="Aptos Narrow"/>
              <a:ea typeface="Aptos Narrow"/>
              <a:cs typeface="Aptos Narrow"/>
            </a:rPr>
            <a:t>100.00%</a:t>
          </a:r>
          <a:endParaRPr/>
        </a:p>
      </xdr:txBody>
    </xdr:sp>
    <xdr:clientData/>
  </xdr:twoCellAnchor>
  <xdr:twoCellAnchor editAs="oneCell">
    <xdr:from>
      <xdr:col>14</xdr:col>
      <xdr:colOff>122464</xdr:colOff>
      <xdr:row>33</xdr:row>
      <xdr:rowOff>54429</xdr:rowOff>
    </xdr:from>
    <xdr:to>
      <xdr:col>24</xdr:col>
      <xdr:colOff>27214</xdr:colOff>
      <xdr:row>36</xdr:row>
      <xdr:rowOff>81643</xdr:rowOff>
    </xdr:to>
    <xdr:sp>
      <xdr:nvSpPr>
        <xdr:cNvPr id="38" name="TextBox 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694964" y="6340929"/>
          <a:ext cx="6027964" cy="5987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950" b="1">
              <a:solidFill>
                <a:schemeClr val="bg1"/>
              </a:solidFill>
            </a:rPr>
            <a:t>Weighted Score Trend:</a:t>
          </a:r>
          <a:endParaRPr/>
        </a:p>
      </xdr:txBody>
    </xdr:sp>
    <xdr:clientData/>
  </xdr:twoCellAnchor>
  <xdr:twoCellAnchor editAs="oneCell">
    <xdr:from>
      <xdr:col>3</xdr:col>
      <xdr:colOff>27215</xdr:colOff>
      <xdr:row>33</xdr:row>
      <xdr:rowOff>163287</xdr:rowOff>
    </xdr:from>
    <xdr:to>
      <xdr:col>10</xdr:col>
      <xdr:colOff>27215</xdr:colOff>
      <xdr:row>37</xdr:row>
      <xdr:rowOff>54431</xdr:rowOff>
    </xdr:to>
    <xdr:sp>
      <xdr:nvSpPr>
        <xdr:cNvPr id="39" name="TextBox 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64179" y="6449787"/>
          <a:ext cx="4286250" cy="6531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3600" b="0">
              <a:solidFill>
                <a:schemeClr val="bg1"/>
              </a:solidFill>
            </a:rPr>
            <a:t>12-Month Production:</a:t>
          </a:r>
          <a:endParaRPr/>
        </a:p>
      </xdr:txBody>
    </xdr:sp>
    <xdr:clientData/>
  </xdr:twoCellAnchor>
  <xdr:twoCellAnchor editAs="oneCell">
    <xdr:from>
      <xdr:col>1</xdr:col>
      <xdr:colOff>503465</xdr:colOff>
      <xdr:row>38</xdr:row>
      <xdr:rowOff>0</xdr:rowOff>
    </xdr:from>
    <xdr:to>
      <xdr:col>4</xdr:col>
      <xdr:colOff>394607</xdr:colOff>
      <xdr:row>40</xdr:row>
      <xdr:rowOff>68035</xdr:rowOff>
    </xdr:to>
    <xdr:sp>
      <xdr:nvSpPr>
        <xdr:cNvPr id="40" name="TextBox 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15786" y="7239000"/>
          <a:ext cx="1728107" cy="4490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600">
              <a:solidFill>
                <a:schemeClr val="bg1"/>
              </a:solidFill>
            </a:rPr>
            <a:t>Current Total</a:t>
          </a:r>
          <a:endParaRPr/>
        </a:p>
      </xdr:txBody>
    </xdr:sp>
    <xdr:clientData/>
  </xdr:twoCellAnchor>
  <xdr:twoCellAnchor editAs="oneCell">
    <xdr:from>
      <xdr:col>7</xdr:col>
      <xdr:colOff>543152</xdr:colOff>
      <xdr:row>37</xdr:row>
      <xdr:rowOff>181994</xdr:rowOff>
    </xdr:from>
    <xdr:to>
      <xdr:col>11</xdr:col>
      <xdr:colOff>122464</xdr:colOff>
      <xdr:row>40</xdr:row>
      <xdr:rowOff>40821</xdr:rowOff>
    </xdr:to>
    <xdr:sp>
      <xdr:nvSpPr>
        <xdr:cNvPr id="41" name="TextBox 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829402" y="7230494"/>
          <a:ext cx="2028598" cy="4303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600">
              <a:solidFill>
                <a:schemeClr val="bg1"/>
              </a:solidFill>
            </a:rPr>
            <a:t>Annual Benchmark</a:t>
          </a:r>
          <a:endParaRPr/>
        </a:p>
      </xdr:txBody>
    </xdr:sp>
    <xdr:clientData/>
  </xdr:twoCellAnchor>
  <xdr:twoCellAnchor editAs="oneCell">
    <xdr:from>
      <xdr:col>1</xdr:col>
      <xdr:colOff>298225</xdr:colOff>
      <xdr:row>43</xdr:row>
      <xdr:rowOff>141175</xdr:rowOff>
    </xdr:from>
    <xdr:to>
      <xdr:col>5</xdr:col>
      <xdr:colOff>81643</xdr:colOff>
      <xdr:row>46</xdr:row>
      <xdr:rowOff>2</xdr:rowOff>
    </xdr:to>
    <xdr:sp>
      <xdr:nvSpPr>
        <xdr:cNvPr id="42" name="TextBox 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0546" y="8332675"/>
          <a:ext cx="2232704" cy="4303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600">
              <a:solidFill>
                <a:schemeClr val="bg1"/>
              </a:solidFill>
            </a:rPr>
            <a:t>Benchmark Attainment</a:t>
          </a:r>
          <a:endParaRPr/>
        </a:p>
      </xdr:txBody>
    </xdr:sp>
    <xdr:clientData/>
  </xdr:twoCellAnchor>
  <xdr:twoCellAnchor editAs="oneCell">
    <xdr:from>
      <xdr:col>8</xdr:col>
      <xdr:colOff>39688</xdr:colOff>
      <xdr:row>44</xdr:row>
      <xdr:rowOff>5102</xdr:rowOff>
    </xdr:from>
    <xdr:to>
      <xdr:col>10</xdr:col>
      <xdr:colOff>381000</xdr:colOff>
      <xdr:row>46</xdr:row>
      <xdr:rowOff>27214</xdr:rowOff>
    </xdr:to>
    <xdr:sp>
      <xdr:nvSpPr>
        <xdr:cNvPr id="43" name="TextBox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938259" y="8387102"/>
          <a:ext cx="1565955" cy="4031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600">
              <a:solidFill>
                <a:schemeClr val="bg1"/>
              </a:solidFill>
            </a:rPr>
            <a:t>Data</a:t>
          </a:r>
          <a:r>
            <a:rPr sz="1600">
              <a:solidFill>
                <a:schemeClr val="bg1"/>
              </a:solidFill>
            </a:rPr>
            <a:t> Updated</a:t>
          </a:r>
          <a:endParaRPr/>
        </a:p>
        <a:p xmlns:a="http://schemas.openxmlformats.org/drawingml/2006/main">
          <a:endParaRPr/>
        </a:p>
      </xdr:txBody>
    </xdr:sp>
    <xdr:clientData/>
  </xdr:twoCellAnchor>
  <xdr:twoCellAnchor editAs="oneCell">
    <xdr:from>
      <xdr:col>8</xdr:col>
      <xdr:colOff>325437</xdr:colOff>
      <xdr:row>39</xdr:row>
      <xdr:rowOff>141174</xdr:rowOff>
    </xdr:from>
    <xdr:to>
      <xdr:col>10</xdr:col>
      <xdr:colOff>13607</xdr:colOff>
      <xdr:row>42</xdr:row>
      <xdr:rowOff>136071</xdr:rowOff>
    </xdr:to>
    <xdr:sp>
      <xdr:nvSpPr>
        <xdr:cNvPr id="44" name="TextBox 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4008" y="7570674"/>
          <a:ext cx="912813" cy="5663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320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96</a:t>
          </a:r>
          <a:endParaRPr/>
        </a:p>
      </xdr:txBody>
    </xdr:sp>
    <xdr:clientData/>
  </xdr:twoCellAnchor>
  <xdr:twoCellAnchor editAs="oneCell">
    <xdr:from>
      <xdr:col>2</xdr:col>
      <xdr:colOff>162151</xdr:colOff>
      <xdr:row>46</xdr:row>
      <xdr:rowOff>5102</xdr:rowOff>
    </xdr:from>
    <xdr:to>
      <xdr:col>4</xdr:col>
      <xdr:colOff>95250</xdr:colOff>
      <xdr:row>49</xdr:row>
      <xdr:rowOff>40821</xdr:rowOff>
    </xdr:to>
    <xdr:sp>
      <xdr:nvSpPr>
        <xdr:cNvPr id="45" name="TextBox 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86794" y="8768102"/>
          <a:ext cx="1157742" cy="6072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225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106.25%</a:t>
          </a:r>
          <a:endParaRPr/>
        </a:p>
      </xdr:txBody>
    </xdr:sp>
    <xdr:clientData/>
  </xdr:twoCellAnchor>
  <xdr:twoCellAnchor editAs="oneCell">
    <xdr:from>
      <xdr:col>7</xdr:col>
      <xdr:colOff>421822</xdr:colOff>
      <xdr:row>46</xdr:row>
      <xdr:rowOff>18710</xdr:rowOff>
    </xdr:from>
    <xdr:to>
      <xdr:col>10</xdr:col>
      <xdr:colOff>421822</xdr:colOff>
      <xdr:row>49</xdr:row>
      <xdr:rowOff>54428</xdr:rowOff>
    </xdr:to>
    <xdr:sp>
      <xdr:nvSpPr>
        <xdr:cNvPr id="46" name="TextBox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708072" y="8781710"/>
          <a:ext cx="1836964" cy="6072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95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12/31/2026</a:t>
          </a:r>
          <a:endParaRPr/>
        </a:p>
      </xdr:txBody>
    </xdr:sp>
    <xdr:clientData/>
  </xdr:twoCellAnchor>
  <xdr:twoCellAnchor editAs="oneCell">
    <xdr:from>
      <xdr:col>2</xdr:col>
      <xdr:colOff>299357</xdr:colOff>
      <xdr:row>39</xdr:row>
      <xdr:rowOff>149679</xdr:rowOff>
    </xdr:from>
    <xdr:to>
      <xdr:col>4</xdr:col>
      <xdr:colOff>40821</xdr:colOff>
      <xdr:row>42</xdr:row>
      <xdr:rowOff>122464</xdr:rowOff>
    </xdr:to>
    <xdr:sp>
      <xdr:nvSpPr>
        <xdr:cNvPr id="47" name="TextBox 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24000" y="7579179"/>
          <a:ext cx="966107" cy="5442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3200" b="0" i="0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102</a:t>
          </a:r>
          <a:endParaRPr/>
        </a:p>
      </xdr:txBody>
    </xdr:sp>
    <xdr:clientData/>
  </xdr:twoCellAnchor>
  <xdr:twoCellAnchor editAs="oneCell">
    <xdr:from>
      <xdr:col>1</xdr:col>
      <xdr:colOff>0</xdr:colOff>
      <xdr:row>26</xdr:row>
      <xdr:rowOff>105833</xdr:rowOff>
    </xdr:from>
    <xdr:to>
      <xdr:col>12</xdr:col>
      <xdr:colOff>45357</xdr:colOff>
      <xdr:row>30</xdr:row>
      <xdr:rowOff>75595</xdr:rowOff>
    </xdr:to>
    <xdr:sp>
      <xdr:nvSpPr>
        <xdr:cNvPr id="48" name="TextBox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04762" y="5216071"/>
          <a:ext cx="6697738" cy="755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800" b="0" i="1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Exceeded the core production goal while improving retention and follow-up consistency.</a:t>
          </a:r>
          <a:endParaRPr/>
        </a:p>
      </xdr:txBody>
    </xdr:sp>
    <xdr:clientData/>
  </xdr:twoCellAnchor>
  <xdr:twoCellAnchor editAs="oneCell">
    <xdr:from>
      <xdr:col>14</xdr:col>
      <xdr:colOff>45358</xdr:colOff>
      <xdr:row>26</xdr:row>
      <xdr:rowOff>181429</xdr:rowOff>
    </xdr:from>
    <xdr:to>
      <xdr:col>25</xdr:col>
      <xdr:colOff>90715</xdr:colOff>
      <xdr:row>30</xdr:row>
      <xdr:rowOff>151191</xdr:rowOff>
    </xdr:to>
    <xdr:sp>
      <xdr:nvSpPr>
        <xdr:cNvPr id="49" name="TextBox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512025" y="5291667"/>
          <a:ext cx="6697738" cy="755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2000" b="0" i="1" u="none">
              <a:solidFill>
                <a:schemeClr val="bg1"/>
              </a:solidFill>
              <a:latin typeface="Aptos Narrow"/>
              <a:ea typeface="Aptos Narrow"/>
              <a:cs typeface="Aptos Narrow"/>
            </a:rPr>
            <a:t>Raise quality performance while maintaining strong follow-up completion.</a:t>
          </a:r>
          <a:endParaRPr/>
        </a:p>
      </xdr:txBody>
    </xdr:sp>
    <xdr:clientData/>
  </xdr:twoCellAnchor>
  <xdr:twoCellAnchor editAs="oneCell">
    <xdr:from>
      <xdr:col>14</xdr:col>
      <xdr:colOff>408214</xdr:colOff>
      <xdr:row>4</xdr:row>
      <xdr:rowOff>90715</xdr:rowOff>
    </xdr:from>
    <xdr:to>
      <xdr:col>18</xdr:col>
      <xdr:colOff>408215</xdr:colOff>
      <xdr:row>9</xdr:row>
      <xdr:rowOff>120952</xdr:rowOff>
    </xdr:to>
    <xdr:sp>
      <xdr:nvSpPr>
        <xdr:cNvPr id="50" name="TextBox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874881" y="876905"/>
          <a:ext cx="2419048" cy="10129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600" b="0" i="0" u="none">
              <a:solidFill>
                <a:schemeClr val="bg2"/>
              </a:solidFill>
              <a:latin typeface="Aptos Narrow"/>
              <a:ea typeface="Aptos Narrow"/>
              <a:cs typeface="Aptos Narrow"/>
            </a:rPr>
            <a:t>Service Excellence Recognition - Q3 2026</a:t>
          </a:r>
          <a:endParaRPr/>
        </a:p>
      </xdr:txBody>
    </xdr:sp>
    <xdr:clientData/>
  </xdr:twoCellAnchor>
</xdr:wsDr>
</file>

<file path=xl/tables/table1.xml><?xml version="1.0" encoding="utf-8"?>
<x:table xmlns:x="http://schemas.openxmlformats.org/spreadsheetml/2006/main" id="2" name="Table2" displayName="Table2" ref="A5:B11" totalsRowShown="0">
  <x:autoFilter ref="A5:B11"/>
  <x:tableColumns count="2">
    <x:tableColumn id="1" name="Task" dataDxfId="29"/>
    <x:tableColumn id="2" name="Location" dataDxfId="28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3" name="Table3" displayName="Table3" ref="F5:G10" totalsRowShown="0">
  <x:autoFilter ref="F5:G10"/>
  <x:tableColumns count="2">
    <x:tableColumn id="1" name="Sheet" dataDxfId="26"/>
    <x:tableColumn id="2" name="Purpose" dataDxfId="25"/>
  </x:tableColumns>
  <x:tableStyleInfo name="TableStyleMedium1" showFirstColumn="0" showLastColumn="0" showRowStripes="1" showColumnStripes="0"/>
</x:table>
</file>

<file path=xl/tables/table3.xml><?xml version="1.0" encoding="utf-8"?>
<x:table xmlns:x="http://schemas.openxmlformats.org/spreadsheetml/2006/main" id="18" name="tblPerformance" displayName="tblPerformance" ref="A1:M32" totalsRowShown="0">
  <x:autoFilter ref="A1:M32"/>
  <x:tableColumns count="13">
    <x:tableColumn id="1" name="Employee" dataDxfId="23"/>
    <x:tableColumn id="2" name="Month" dataDxfId="22"/>
    <x:tableColumn id="3" name="LookupKey" dataDxfId="21">
      <x:calculatedColumnFormula>IF(OR(tblPerformance[[#This Row],[Employee]]="",tblPerformance[[#This Row],[Month]]=""),"",tblPerformance[[#This Row],[Employee]]&amp;"-"&amp;TEXT(tblPerformance[[#This Row],[Month]],"mmm-yy"))</x:calculatedColumnFormula>
    </x:tableColumn>
    <x:tableColumn id="16" name="Checking Goal" dataDxfId="20"/>
    <x:tableColumn id="15" name="Checking Opened" dataDxfId="19"/>
    <x:tableColumn id="14" name="Checking Goal %" dataDxfId="18">
      <x:calculatedColumnFormula>IF(OR(tblPerformance[[#This Row],[Checking Goal]]="",tblPerformance[[#This Row],[Checking Opened]]=""),"",tblPerformance[[#This Row],[Checking Opened]]/tblPerformance[[#This Row],[Checking Goal]])</x:calculatedColumnFormula>
    </x:tableColumn>
    <x:tableColumn id="6" name="Savings Goal" dataDxfId="17"/>
    <x:tableColumn id="17" name="Savings Opened" dataDxfId="16"/>
    <x:tableColumn id="18" name="Savings Goal %" dataDxfId="15">
      <x:calculatedColumnFormula>IF(OR(tblPerformance[[#This Row],[Savings Goal]]="",tblPerformance[[#This Row],[Savings Opened]]=""),"",tblPerformance[[#This Row],[Savings Opened]]/tblPerformance[[#This Row],[Savings Goal]])</x:calculatedColumnFormula>
    </x:tableColumn>
    <x:tableColumn id="8" name="Qualifying %" dataDxfId="14"/>
    <x:tableColumn id="9" name="Still Open %" dataDxfId="13"/>
    <x:tableColumn id="10" name="Follow-Ups %" dataDxfId="12"/>
    <x:tableColumn id="11" name="Portfolio Score" dataDxfId="11">
      <x:calculatedColumnFormula>IF(OR(tblPerformance[[#This Row],[Checking Goal %]]="",tblPerformance[[#This Row],[Savings Goal %]]="",tblPerformance[[#This Row],[Qualifying %]]="",tblPerformance[[#This Row],[Still Open %]]="",tblPerformance[[#This Row],[Follow-Ups %]]=""),"",(tblPerformance[[#This Row],[Checking Goal %]]*30%)+(tblPerformance[[#This Row],[Savings Goal %]]*10%)+(tblPerformance[[#This Row],[Qualifying %]]*25%)+(tblPerformance[[#This Row],[Still Open %]]*20%)+(tblPerformance[[#This Row],[Follow-Ups %]]*15%))</x:calculatedColumnFormula>
    </x:tableColumn>
  </x:tableColumns>
  <x:tableStyleInfo name="TableStyleMedium8" showFirstColumn="0" showLastColumn="0" showRowStripes="1" showColumnStripes="0"/>
</x:table>
</file>

<file path=xl/tables/table4.xml><?xml version="1.0" encoding="utf-8"?>
<x:table xmlns:x="http://schemas.openxmlformats.org/spreadsheetml/2006/main" id="1" name="Table1" displayName="Table1" ref="A38:C45" totalsRowShown="0">
  <x:autoFilter ref="A38:C45"/>
  <x:tableColumns count="3">
    <x:tableColumn id="1" name="Metric" dataDxfId="9"/>
    <x:tableColumn id="2" name="Weight" dataDxfId="8"/>
    <x:tableColumn id="3" name="Why" dataDxfId="7"/>
  </x:tableColumns>
  <x:tableStyleInfo name="TableStyleMedium8" showFirstColumn="0" showLastColumn="0" showRowStripes="1" showColumnStripes="0"/>
</x:table>
</file>

<file path=xl/tables/table5.xml><?xml version="1.0" encoding="utf-8"?>
<x:table xmlns:x="http://schemas.openxmlformats.org/spreadsheetml/2006/main" id="7" name="Table7" displayName="Table7" ref="A1:B14" totalsRowShown="0" dataDxfId="5">
  <x:autoFilter ref="A1:B14"/>
  <x:tableColumns count="2">
    <x:tableColumn id="1" name="Column1" dataDxfId="4"/>
    <x:tableColumn id="2" name="Column2" dataDxfId="3"/>
  </x:tableColumns>
  <x:tableStyleInfo name="TableStyleMedium8" showFirstColumn="0" showLastColumn="0" showRowStripes="1" showColumnStripes="0"/>
</x:table>
</file>

<file path=xl/tables/table6.xml><?xml version="1.0" encoding="utf-8"?>
<x:table xmlns:x="http://schemas.openxmlformats.org/spreadsheetml/2006/main" id="4" name="Table4" displayName="Table4" ref="AK20:AL45" totalsRowShown="0" dataDxfId="2">
  <x:autoFilter ref="AK20:AL45"/>
  <x:tableColumns count="2">
    <x:tableColumn id="1" name="Month" dataDxfId="1"/>
    <x:tableColumn id="2" name="Score" dataDxfId="0"/>
  </x:tableColumns>
  <x:tableStyleInfo name="TableStyleMedium2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038062bcf145a0" /><Relationship Type="http://schemas.openxmlformats.org/officeDocument/2006/relationships/table" Target="/xl/tables/table2.xml" Id="R24bd128ada574c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ad06a3e5d3b44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92568a7c854b94" /><Relationship Type="http://schemas.openxmlformats.org/officeDocument/2006/relationships/table" Target="/xl/tables/table4.xml" Id="R4cc5699fb8d9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b8c4f3f22f345a7" /><Relationship Type="http://schemas.openxmlformats.org/officeDocument/2006/relationships/table" Target="/xl/tables/table6.xml" Id="R45f127e9bfea4d00" /></Relationships>
</file>

<file path=xl/worksheets/sheet1.xml><?xml version="1.0" encoding="utf-8"?>
<x:worksheet xmlns:x="http://schemas.openxmlformats.org/spreadsheetml/2006/main">
  <x:sheetFormatPr defaultRowHeight="15"/>
  <x:cols>
    <x:col min="1" max="1" width="16.5703125" customWidth="1"/>
    <x:col min="2" max="2" width="18.28515625" customWidth="1"/>
    <x:col min="5" max="5" width="8.85546875" customWidth="1"/>
    <x:col min="6" max="6" width="17.7109375" customWidth="1"/>
    <x:col min="7" max="7" width="18.42578125" customWidth="1"/>
    <x:col min="8" max="8" width="26.28515625" customWidth="1"/>
    <x:col min="10" max="12" width="9.140625" customWidth="1"/>
  </x:cols>
  <x:sheetData>
    <x:row r="1" ht="31.5">
      <x:c r="A1" s="39" t="s">
        <x:v>0</x:v>
      </x:c>
      <x:c r="B1" s="40"/>
      <x:c r="C1" s="40"/>
      <x:c r="D1" s="40"/>
      <x:c r="E1" s="40"/>
      <x:c r="F1" s="40"/>
      <x:c r="G1" s="19"/>
    </x:row>
    <x:row r="2" ht="15.75">
      <x:c r="A2" s="22" t="s">
        <x:v>1</x:v>
      </x:c>
    </x:row>
    <x:row r="3" ht="35.25" customHeight="1">
      <x:c r="A3" s="58" t="s">
        <x:v>2</x:v>
      </x:c>
      <x:c r="B3" s="55"/>
      <x:c r="C3" s="55"/>
      <x:c r="D3" s="55"/>
      <x:c r="E3" s="55"/>
      <x:c r="F3" s="18"/>
      <x:c r="G3" s="18"/>
      <x:c r="H3" s="18"/>
      <x:c r="I3" s="18"/>
      <x:c r="J3" s="18"/>
      <x:c r="K3" s="18"/>
      <x:c r="L3" s="18"/>
    </x:row>
    <x:row r="5">
      <x:c r="A5" s="9" t="s">
        <x:v>3</x:v>
      </x:c>
      <x:c r="B5" s="9" t="s">
        <x:v>4</x:v>
      </x:c>
      <x:c r="C5" s="1"/>
      <x:c r="F5" s="9" t="s">
        <x:v>5</x:v>
      </x:c>
      <x:c r="G5" s="9" t="s">
        <x:v>6</x:v>
      </x:c>
    </x:row>
    <x:row r="6" ht="45">
      <x:c r="A6" s="12" t="s">
        <x:v>7</x:v>
      </x:c>
      <x:c r="B6" s="8" t="s">
        <x:v>8</x:v>
      </x:c>
      <x:c r="F6" s="8" t="s">
        <x:v>9</x:v>
      </x:c>
      <x:c r="G6" s="12" t="s">
        <x:v>10</x:v>
      </x:c>
    </x:row>
    <x:row r="7" ht="30">
      <x:c r="A7" s="12" t="str">
        <x:v>✔ Update 12-Month Production numbers</x:v>
      </x:c>
      <x:c r="B7" s="8" t="s">
        <x:v>11</x:v>
      </x:c>
      <x:c r="F7" s="8" t="s">
        <x:v>12</x:v>
      </x:c>
      <x:c r="G7" s="12" t="s">
        <x:v>13</x:v>
      </x:c>
    </x:row>
    <x:row r="8" ht="30">
      <x:c r="A8" s="12" t="s">
        <x:v>14</x:v>
      </x:c>
      <x:c r="B8" s="8" t="s">
        <x:v>11</x:v>
      </x:c>
      <x:c r="F8" s="8" t="s">
        <x:v>15</x:v>
      </x:c>
      <x:c r="G8" s="12" t="s">
        <x:v>16</x:v>
      </x:c>
    </x:row>
    <x:row r="9" ht="45">
      <x:c r="A9" s="12" t="s">
        <x:v>17</x:v>
      </x:c>
      <x:c r="B9" s="8" t="s">
        <x:v>11</x:v>
      </x:c>
      <x:c r="F9" s="8" t="s">
        <x:v>11</x:v>
      </x:c>
      <x:c r="G9" s="12" t="s">
        <x:v>18</x:v>
      </x:c>
    </x:row>
    <x:row r="10" ht="45">
      <x:c r="A10" s="12" t="s">
        <x:v>19</x:v>
      </x:c>
      <x:c r="B10" s="8" t="s">
        <x:v>11</x:v>
      </x:c>
      <x:c r="F10" s="8" t="s">
        <x:v>20</x:v>
      </x:c>
      <x:c r="G10" s="12" t="s">
        <x:v>21</x:v>
      </x:c>
    </x:row>
    <x:row r="11" ht="30">
      <x:c r="A11" s="12" t="s">
        <x:v>22</x:v>
      </x:c>
      <x:c r="B11" s="8" t="s">
        <x:v>23</x:v>
      </x:c>
      <x:c r="F11" s="8"/>
      <x:c r="G11" s="12"/>
    </x:row>
    <x:row r="13" ht="31.5">
      <x:c r="A13" s="20" t="s">
        <x:v>24</x:v>
      </x:c>
    </x:row>
    <x:row r="15" ht="25.5" customHeight="1">
      <x:c r="A15" s="54" t="s">
        <x:v>25</x:v>
      </x:c>
      <x:c r="B15" s="55"/>
      <x:c r="C15" s="55"/>
    </x:row>
    <x:row r="16" ht="33" customHeight="1">
      <x:c r="A16" s="54" t="s">
        <x:v>26</x:v>
      </x:c>
      <x:c r="B16" s="55"/>
      <x:c r="C16" s="55"/>
    </x:row>
    <x:row r="17" ht="19.5" customHeight="1">
      <x:c r="A17" s="54" t="s">
        <x:v>27</x:v>
      </x:c>
      <x:c r="B17" s="55"/>
      <x:c r="C17" s="55"/>
    </x:row>
    <x:row r="18">
      <x:c r="A18" s="54" t="s">
        <x:v>28</x:v>
      </x:c>
      <x:c r="B18" s="55"/>
      <x:c r="C18" s="55"/>
    </x:row>
    <x:row r="19">
      <x:c r="A19" s="56" t="s">
        <x:v>29</x:v>
      </x:c>
      <x:c r="B19" s="55"/>
      <x:c r="C19" s="55"/>
    </x:row>
    <x:row r="20">
      <x:c r="A20" s="57" t="s">
        <x:v>30</x:v>
      </x:c>
      <x:c r="B20" s="55"/>
      <x:c r="C20" s="55"/>
      <x:c r="D20" s="21"/>
      <x:c r="E20" s="21"/>
      <x:c r="F20" s="21"/>
      <x:c r="G20" s="21"/>
      <x:c r="H20" s="21"/>
      <x:c r="I20" s="21"/>
      <x:c r="J20" s="21"/>
    </x:row>
    <x:row r="22" ht="15.75" customHeight="1">
      <x:c r="A22" s="62" t="s">
        <x:v>31</x:v>
      </x:c>
      <x:c r="B22" s="62"/>
      <x:c r="C22" s="62"/>
      <x:c r="D22" s="62"/>
      <x:c r="E22" s="62"/>
      <x:c r="F22" s="62"/>
      <x:c r="G22" s="62"/>
      <x:c r="H22" s="62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  <x:c r="AA22" s="59"/>
      <x:c r="AB22" s="59"/>
      <x:c r="AC22" s="59"/>
      <x:c r="AD22" s="59"/>
      <x:c r="AE22" s="59"/>
      <x:c r="AF22" s="59"/>
      <x:c r="AG22" s="59"/>
      <x:c r="AH22" s="59"/>
      <x:c r="AI22" s="59"/>
      <x:c r="AJ22" s="59"/>
      <x:c r="AK22" s="59"/>
      <x:c r="AL22" s="59"/>
      <x:c r="AM22" s="59"/>
      <x:c r="AN22" s="59"/>
      <x:c r="AO22" s="59"/>
      <x:c r="AP22" s="59"/>
      <x:c r="AQ22" s="59"/>
      <x:c r="AR22" s="59"/>
      <x:c r="AS22" s="59"/>
      <x:c r="AT22" s="59"/>
      <x:c r="AU22" s="59"/>
      <x:c r="AV22" s="59"/>
      <x:c r="AW22" s="59"/>
      <x:c r="AX22" s="59"/>
      <x:c r="AY22" s="59"/>
      <x:c r="AZ22" s="59"/>
      <x:c r="BA22" s="59"/>
      <x:c r="BB22" s="59"/>
      <x:c r="BC22" s="59"/>
      <x:c r="BD22" s="59"/>
      <x:c r="BE22" s="59"/>
      <x:c r="BF22" s="59"/>
      <x:c r="BG22" s="59"/>
      <x:c r="BH22" s="59"/>
      <x:c r="BI22" s="59"/>
      <x:c r="BJ22" s="59"/>
      <x:c r="BK22" s="59"/>
      <x:c r="BL22" s="59"/>
      <x:c r="BM22" s="59"/>
      <x:c r="BN22" s="59"/>
      <x:c r="BO22" s="59"/>
      <x:c r="BP22" s="59"/>
      <x:c r="BQ22" s="59"/>
      <x:c r="BR22" s="59"/>
      <x:c r="BS22" s="59"/>
      <x:c r="BT22" s="59"/>
      <x:c r="BU22" s="59"/>
      <x:c r="BV22" s="59"/>
      <x:c r="BW22" s="59"/>
      <x:c r="BX22" s="59"/>
      <x:c r="BY22" s="59"/>
      <x:c r="BZ22" s="59"/>
      <x:c r="CA22" s="59"/>
      <x:c r="CB22" s="59"/>
      <x:c r="CC22" s="59"/>
      <x:c r="CD22" s="59"/>
      <x:c r="CE22" s="59"/>
      <x:c r="CF22" s="59"/>
      <x:c r="CG22" s="59"/>
      <x:c r="CH22" s="59"/>
      <x:c r="CI22" s="59"/>
      <x:c r="CJ22" s="59"/>
      <x:c r="CK22" s="59"/>
      <x:c r="CL22" s="59"/>
      <x:c r="CM22" s="59"/>
      <x:c r="CN22" s="59"/>
      <x:c r="CO22" s="59"/>
      <x:c r="CP22" s="59"/>
      <x:c r="CQ22" s="59"/>
      <x:c r="CR22" s="59"/>
      <x:c r="CS22" s="59"/>
      <x:c r="CT22" s="59"/>
      <x:c r="CU22" s="59"/>
      <x:c r="CV22" s="59"/>
      <x:c r="CW22" s="59"/>
      <x:c r="CX22" s="59"/>
      <x:c r="CY22" s="59"/>
      <x:c r="CZ22" s="59"/>
      <x:c r="DA22" s="59"/>
      <x:c r="DB22" s="59"/>
      <x:c r="DC22" s="59"/>
      <x:c r="DD22" s="59"/>
      <x:c r="DE22" s="59"/>
      <x:c r="DF22" s="59"/>
      <x:c r="DG22" s="59"/>
      <x:c r="DH22" s="59"/>
      <x:c r="DI22" s="59"/>
      <x:c r="DJ22" s="59"/>
      <x:c r="DK22" s="59"/>
      <x:c r="DL22" s="59"/>
      <x:c r="DM22" s="59"/>
      <x:c r="DN22" s="59"/>
      <x:c r="DO22" s="59"/>
      <x:c r="DP22" s="59"/>
      <x:c r="DQ22" s="59"/>
      <x:c r="DR22" s="59"/>
      <x:c r="DS22" s="59"/>
      <x:c r="DT22" s="59"/>
      <x:c r="DU22" s="59"/>
      <x:c r="DV22" s="59"/>
      <x:c r="DW22" s="59"/>
      <x:c r="DX22" s="59"/>
      <x:c r="DY22" s="59"/>
      <x:c r="DZ22" s="59"/>
      <x:c r="EA22" s="59"/>
      <x:c r="EB22" s="59"/>
      <x:c r="EC22" s="59"/>
      <x:c r="ED22" s="59"/>
      <x:c r="EE22" s="59"/>
      <x:c r="EF22" s="59"/>
      <x:c r="EG22" s="59"/>
      <x:c r="EH22" s="59"/>
      <x:c r="EI22" s="59"/>
      <x:c r="EJ22" s="59"/>
      <x:c r="EK22" s="59"/>
      <x:c r="EL22" s="59"/>
      <x:c r="EM22" s="59"/>
      <x:c r="EN22" s="59"/>
      <x:c r="EO22" s="59"/>
      <x:c r="EP22" s="59"/>
      <x:c r="EQ22" s="59"/>
      <x:c r="ER22" s="59"/>
      <x:c r="ES22" s="59"/>
      <x:c r="ET22" s="59"/>
      <x:c r="EU22" s="59"/>
      <x:c r="EV22" s="59"/>
      <x:c r="EW22" s="59"/>
      <x:c r="EX22" s="59"/>
      <x:c r="EY22" s="59"/>
      <x:c r="EZ22" s="59"/>
      <x:c r="FA22" s="59"/>
      <x:c r="FB22" s="59"/>
      <x:c r="FC22" s="59"/>
      <x:c r="FD22" s="59"/>
      <x:c r="FE22" s="59"/>
      <x:c r="FF22" s="59"/>
      <x:c r="FG22" s="59"/>
      <x:c r="FH22" s="59"/>
      <x:c r="FI22" s="59"/>
      <x:c r="FJ22" s="59"/>
      <x:c r="FK22" s="59"/>
      <x:c r="FL22" s="59"/>
      <x:c r="FM22" s="59"/>
      <x:c r="FN22" s="59"/>
      <x:c r="FO22" s="59"/>
      <x:c r="FP22" s="59"/>
      <x:c r="FQ22" s="59"/>
      <x:c r="FR22" s="59"/>
      <x:c r="FS22" s="59"/>
      <x:c r="FT22" s="59"/>
      <x:c r="FU22" s="59"/>
      <x:c r="FV22" s="59"/>
      <x:c r="FW22" s="59"/>
      <x:c r="FX22" s="59"/>
      <x:c r="FY22" s="59"/>
      <x:c r="FZ22" s="59"/>
      <x:c r="GA22" s="59"/>
      <x:c r="GB22" s="59"/>
      <x:c r="GC22" s="59"/>
      <x:c r="GD22" s="59"/>
      <x:c r="GE22" s="59"/>
      <x:c r="GF22" s="59"/>
      <x:c r="GG22" s="59"/>
      <x:c r="GH22" s="59"/>
      <x:c r="GI22" s="59"/>
      <x:c r="GJ22" s="59"/>
      <x:c r="GK22" s="59"/>
      <x:c r="GL22" s="59"/>
      <x:c r="GM22" s="59"/>
      <x:c r="GN22" s="59"/>
      <x:c r="GO22" s="59"/>
      <x:c r="GP22" s="59"/>
      <x:c r="GQ22" s="59"/>
      <x:c r="GR22" s="59"/>
      <x:c r="GS22" s="59"/>
      <x:c r="GT22" s="59"/>
      <x:c r="GU22" s="59"/>
      <x:c r="GV22" s="59"/>
      <x:c r="GW22" s="59"/>
      <x:c r="GX22" s="59"/>
      <x:c r="GY22" s="59"/>
      <x:c r="GZ22" s="59"/>
      <x:c r="HA22" s="59"/>
      <x:c r="HB22" s="59"/>
      <x:c r="HC22" s="59"/>
      <x:c r="HD22" s="59"/>
      <x:c r="HE22" s="59"/>
      <x:c r="HF22" s="59"/>
      <x:c r="HG22" s="59"/>
      <x:c r="HH22" s="59"/>
      <x:c r="HI22" s="59"/>
      <x:c r="HJ22" s="59"/>
      <x:c r="HK22" s="59"/>
      <x:c r="HL22" s="59"/>
      <x:c r="HM22" s="59"/>
      <x:c r="HN22" s="59"/>
      <x:c r="HO22" s="59"/>
      <x:c r="HP22" s="59"/>
      <x:c r="HQ22" s="59"/>
      <x:c r="HR22" s="59"/>
      <x:c r="HS22" s="59"/>
      <x:c r="HT22" s="59"/>
      <x:c r="HU22" s="59"/>
      <x:c r="HV22" s="59"/>
      <x:c r="HW22" s="59"/>
      <x:c r="HX22" s="59"/>
      <x:c r="HY22" s="59"/>
      <x:c r="HZ22" s="59"/>
      <x:c r="IA22" s="59"/>
      <x:c r="IB22" s="59"/>
      <x:c r="IC22" s="59"/>
      <x:c r="ID22" s="59"/>
      <x:c r="IE22" s="59"/>
      <x:c r="IF22" s="59"/>
      <x:c r="IG22" s="59"/>
      <x:c r="IH22" s="59"/>
      <x:c r="II22" s="59"/>
      <x:c r="IJ22" s="59"/>
      <x:c r="IK22" s="59"/>
      <x:c r="IL22" s="59"/>
      <x:c r="IM22" s="59"/>
      <x:c r="IN22" s="59"/>
      <x:c r="IO22" s="59"/>
      <x:c r="IP22" s="59"/>
      <x:c r="IQ22" s="59"/>
      <x:c r="IR22" s="59"/>
      <x:c r="IS22" s="59"/>
      <x:c r="IT22" s="59"/>
      <x:c r="IU22" s="59"/>
      <x:c r="IV22" s="59"/>
      <x:c r="IW22" s="59"/>
      <x:c r="IX22" s="59"/>
      <x:c r="IY22" s="59"/>
      <x:c r="IZ22" s="59"/>
      <x:c r="JA22" s="59"/>
      <x:c r="JB22" s="59"/>
      <x:c r="JC22" s="59"/>
      <x:c r="JD22" s="59"/>
      <x:c r="JE22" s="59"/>
      <x:c r="JF22" s="59"/>
      <x:c r="JG22" s="59"/>
      <x:c r="JH22" s="59"/>
      <x:c r="JI22" s="59"/>
      <x:c r="JJ22" s="59"/>
      <x:c r="JK22" s="59"/>
      <x:c r="JL22" s="59"/>
      <x:c r="JM22" s="59"/>
      <x:c r="JN22" s="59"/>
      <x:c r="JO22" s="59"/>
      <x:c r="JP22" s="59"/>
      <x:c r="JQ22" s="59"/>
      <x:c r="JR22" s="59"/>
      <x:c r="JS22" s="59"/>
      <x:c r="JT22" s="59"/>
      <x:c r="JU22" s="59"/>
      <x:c r="JV22" s="59"/>
      <x:c r="JW22" s="59"/>
      <x:c r="JX22" s="59"/>
      <x:c r="JY22" s="59"/>
      <x:c r="JZ22" s="59"/>
      <x:c r="KA22" s="59"/>
      <x:c r="KB22" s="59"/>
      <x:c r="KC22" s="59"/>
      <x:c r="KD22" s="59"/>
      <x:c r="KE22" s="59"/>
      <x:c r="KF22" s="59"/>
      <x:c r="KG22" s="59"/>
      <x:c r="KH22" s="59"/>
      <x:c r="KI22" s="59"/>
      <x:c r="KJ22" s="59"/>
      <x:c r="KK22" s="59"/>
      <x:c r="KL22" s="59"/>
      <x:c r="KM22" s="59"/>
      <x:c r="KN22" s="59"/>
      <x:c r="KO22" s="59"/>
      <x:c r="KP22" s="59"/>
      <x:c r="KQ22" s="59"/>
      <x:c r="KR22" s="59"/>
      <x:c r="KS22" s="59"/>
      <x:c r="KT22" s="59"/>
      <x:c r="KU22" s="59"/>
      <x:c r="KV22" s="59"/>
      <x:c r="KW22" s="59"/>
      <x:c r="KX22" s="59"/>
      <x:c r="KY22" s="59"/>
      <x:c r="KZ22" s="59"/>
      <x:c r="LA22" s="59"/>
      <x:c r="LB22" s="59"/>
      <x:c r="LC22" s="59"/>
      <x:c r="LD22" s="59"/>
      <x:c r="LE22" s="59"/>
      <x:c r="LF22" s="59"/>
      <x:c r="LG22" s="59"/>
      <x:c r="LH22" s="59"/>
      <x:c r="LI22" s="59"/>
      <x:c r="LJ22" s="59"/>
      <x:c r="LK22" s="59"/>
      <x:c r="LL22" s="59"/>
      <x:c r="LM22" s="59"/>
      <x:c r="LN22" s="59"/>
      <x:c r="LO22" s="59"/>
      <x:c r="LP22" s="59"/>
      <x:c r="LQ22" s="59"/>
      <x:c r="LR22" s="59"/>
      <x:c r="LS22" s="59"/>
      <x:c r="LT22" s="59"/>
      <x:c r="LU22" s="59"/>
      <x:c r="LV22" s="59"/>
      <x:c r="LW22" s="59"/>
      <x:c r="LX22" s="59"/>
      <x:c r="LY22" s="59"/>
      <x:c r="LZ22" s="59"/>
      <x:c r="MA22" s="59"/>
      <x:c r="MB22" s="59"/>
      <x:c r="MC22" s="59"/>
      <x:c r="MD22" s="59"/>
      <x:c r="ME22" s="59"/>
      <x:c r="MF22" s="59"/>
      <x:c r="MG22" s="59"/>
      <x:c r="MH22" s="59"/>
      <x:c r="MI22" s="59"/>
      <x:c r="MJ22" s="59"/>
      <x:c r="MK22" s="59"/>
      <x:c r="ML22" s="59"/>
      <x:c r="MM22" s="59"/>
      <x:c r="MN22" s="59"/>
      <x:c r="MO22" s="59"/>
      <x:c r="MP22" s="59"/>
      <x:c r="MQ22" s="59"/>
      <x:c r="MR22" s="59"/>
      <x:c r="MS22" s="59"/>
      <x:c r="MT22" s="59"/>
      <x:c r="MU22" s="59"/>
      <x:c r="MV22" s="59"/>
      <x:c r="MW22" s="59"/>
      <x:c r="MX22" s="59"/>
      <x:c r="MY22" s="59"/>
      <x:c r="MZ22" s="59"/>
      <x:c r="NA22" s="59"/>
      <x:c r="NB22" s="59"/>
      <x:c r="NC22" s="59"/>
      <x:c r="ND22" s="59"/>
      <x:c r="NE22" s="59"/>
      <x:c r="NF22" s="59"/>
      <x:c r="NG22" s="59"/>
      <x:c r="NH22" s="59"/>
      <x:c r="NI22" s="59"/>
      <x:c r="NJ22" s="59"/>
      <x:c r="NK22" s="59"/>
      <x:c r="NL22" s="59"/>
      <x:c r="NM22" s="59"/>
      <x:c r="NN22" s="59"/>
      <x:c r="NO22" s="59"/>
      <x:c r="NP22" s="59"/>
      <x:c r="NQ22" s="59"/>
      <x:c r="NR22" s="59"/>
      <x:c r="NS22" s="59"/>
      <x:c r="NT22" s="59"/>
      <x:c r="NU22" s="59"/>
      <x:c r="NV22" s="59"/>
      <x:c r="NW22" s="59"/>
      <x:c r="NX22" s="59"/>
      <x:c r="NY22" s="59"/>
      <x:c r="NZ22" s="59"/>
      <x:c r="OA22" s="59"/>
      <x:c r="OB22" s="59"/>
      <x:c r="OC22" s="59"/>
      <x:c r="OD22" s="59"/>
      <x:c r="OE22" s="59"/>
      <x:c r="OF22" s="59"/>
      <x:c r="OG22" s="59"/>
      <x:c r="OH22" s="59"/>
      <x:c r="OI22" s="59"/>
      <x:c r="OJ22" s="59"/>
      <x:c r="OK22" s="59"/>
      <x:c r="OL22" s="59"/>
      <x:c r="OM22" s="59"/>
      <x:c r="ON22" s="59"/>
      <x:c r="OO22" s="59"/>
      <x:c r="OP22" s="59"/>
      <x:c r="OQ22" s="59"/>
      <x:c r="OR22" s="59"/>
      <x:c r="OS22" s="59"/>
      <x:c r="OT22" s="59"/>
      <x:c r="OU22" s="59"/>
      <x:c r="OV22" s="59"/>
      <x:c r="OW22" s="59"/>
      <x:c r="OX22" s="59"/>
      <x:c r="OY22" s="59"/>
      <x:c r="OZ22" s="59"/>
      <x:c r="PA22" s="59"/>
      <x:c r="PB22" s="59"/>
      <x:c r="PC22" s="59"/>
      <x:c r="PD22" s="59"/>
      <x:c r="PE22" s="59"/>
      <x:c r="PF22" s="59"/>
      <x:c r="PG22" s="59"/>
      <x:c r="PH22" s="59"/>
      <x:c r="PI22" s="59"/>
      <x:c r="PJ22" s="59"/>
      <x:c r="PK22" s="59"/>
      <x:c r="PL22" s="59"/>
      <x:c r="PM22" s="59"/>
      <x:c r="PN22" s="59"/>
      <x:c r="PO22" s="59"/>
      <x:c r="PP22" s="59"/>
      <x:c r="PQ22" s="59"/>
      <x:c r="PR22" s="59"/>
      <x:c r="PS22" s="59"/>
      <x:c r="PT22" s="59"/>
      <x:c r="PU22" s="59"/>
      <x:c r="PV22" s="59"/>
      <x:c r="PW22" s="59"/>
      <x:c r="PX22" s="59"/>
      <x:c r="PY22" s="59"/>
      <x:c r="PZ22" s="59"/>
      <x:c r="QA22" s="59"/>
      <x:c r="QB22" s="59"/>
      <x:c r="QC22" s="59"/>
      <x:c r="QD22" s="59"/>
      <x:c r="QE22" s="59"/>
      <x:c r="QF22" s="59"/>
      <x:c r="QG22" s="59"/>
      <x:c r="QH22" s="59"/>
      <x:c r="QI22" s="59"/>
      <x:c r="QJ22" s="59"/>
      <x:c r="QK22" s="59"/>
      <x:c r="QL22" s="59"/>
      <x:c r="QM22" s="59"/>
      <x:c r="QN22" s="59"/>
      <x:c r="QO22" s="59"/>
      <x:c r="QP22" s="59"/>
      <x:c r="QQ22" s="59"/>
      <x:c r="QR22" s="59"/>
      <x:c r="QS22" s="59"/>
      <x:c r="QT22" s="59"/>
      <x:c r="QU22" s="59"/>
      <x:c r="QV22" s="59"/>
      <x:c r="QW22" s="59"/>
      <x:c r="QX22" s="59"/>
      <x:c r="QY22" s="59"/>
      <x:c r="QZ22" s="59"/>
      <x:c r="RA22" s="59"/>
      <x:c r="RB22" s="59"/>
      <x:c r="RC22" s="59"/>
      <x:c r="RD22" s="59"/>
      <x:c r="RE22" s="59"/>
      <x:c r="RF22" s="59"/>
      <x:c r="RG22" s="59"/>
      <x:c r="RH22" s="59"/>
      <x:c r="RI22" s="59"/>
      <x:c r="RJ22" s="59"/>
      <x:c r="RK22" s="59"/>
      <x:c r="RL22" s="59"/>
      <x:c r="RM22" s="59"/>
      <x:c r="RN22" s="59"/>
      <x:c r="RO22" s="59"/>
      <x:c r="RP22" s="59"/>
      <x:c r="RQ22" s="59"/>
      <x:c r="RR22" s="59"/>
      <x:c r="RS22" s="59"/>
      <x:c r="RT22" s="59"/>
      <x:c r="RU22" s="59"/>
      <x:c r="RV22" s="59"/>
      <x:c r="RW22" s="59"/>
      <x:c r="RX22" s="59"/>
      <x:c r="RY22" s="59"/>
      <x:c r="RZ22" s="59"/>
      <x:c r="SA22" s="59"/>
      <x:c r="SB22" s="59"/>
      <x:c r="SC22" s="59"/>
      <x:c r="SD22" s="59"/>
      <x:c r="SE22" s="59"/>
      <x:c r="SF22" s="59"/>
    </x:row>
    <x:row r="23" ht="27" customHeight="1">
      <x:c r="A23" s="60">
        <x:v>1</x:v>
      </x:c>
      <x:c r="B23" s="63" t="s">
        <x:v>32</x:v>
      </x:c>
      <x:c r="C23" s="63"/>
      <x:c r="D23" s="63" t="s">
        <x:v>33</x:v>
      </x:c>
      <x:c r="E23" s="63"/>
      <x:c r="F23" s="63" t="s">
        <x:v>34</x:v>
      </x:c>
      <x:c r="G23" s="63"/>
      <x:c r="H23" s="63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  <x:c r="AA23" s="59"/>
      <x:c r="AB23" s="59"/>
      <x:c r="AC23" s="59"/>
      <x:c r="AD23" s="59"/>
      <x:c r="AE23" s="59"/>
      <x:c r="AF23" s="59"/>
      <x:c r="AG23" s="59"/>
      <x:c r="AH23" s="59"/>
      <x:c r="AI23" s="59"/>
      <x:c r="AJ23" s="59"/>
      <x:c r="AK23" s="59"/>
      <x:c r="AL23" s="59"/>
      <x:c r="AM23" s="59"/>
      <x:c r="AN23" s="59"/>
      <x:c r="AO23" s="59"/>
      <x:c r="AP23" s="59"/>
      <x:c r="AQ23" s="59"/>
      <x:c r="AR23" s="59"/>
      <x:c r="AS23" s="59"/>
      <x:c r="AT23" s="59"/>
      <x:c r="AU23" s="59"/>
      <x:c r="AV23" s="59"/>
      <x:c r="AW23" s="59"/>
      <x:c r="AX23" s="59"/>
      <x:c r="AY23" s="59"/>
      <x:c r="AZ23" s="59"/>
      <x:c r="BA23" s="59"/>
      <x:c r="BB23" s="59"/>
      <x:c r="BC23" s="59"/>
      <x:c r="BD23" s="59"/>
      <x:c r="BE23" s="59"/>
      <x:c r="BF23" s="59"/>
      <x:c r="BG23" s="59"/>
      <x:c r="BH23" s="59"/>
      <x:c r="BI23" s="59"/>
      <x:c r="BJ23" s="59"/>
      <x:c r="BK23" s="59"/>
      <x:c r="BL23" s="59"/>
      <x:c r="BM23" s="59"/>
      <x:c r="BN23" s="59"/>
      <x:c r="BO23" s="59"/>
      <x:c r="BP23" s="59"/>
      <x:c r="BQ23" s="59"/>
      <x:c r="BR23" s="59"/>
      <x:c r="BS23" s="59"/>
      <x:c r="BT23" s="59"/>
      <x:c r="BU23" s="59"/>
      <x:c r="BV23" s="59"/>
      <x:c r="BW23" s="59"/>
      <x:c r="BX23" s="59"/>
      <x:c r="BY23" s="59"/>
      <x:c r="BZ23" s="59"/>
      <x:c r="CA23" s="59"/>
      <x:c r="CB23" s="59"/>
      <x:c r="CC23" s="59"/>
      <x:c r="CD23" s="59"/>
      <x:c r="CE23" s="59"/>
      <x:c r="CF23" s="59"/>
      <x:c r="CG23" s="59"/>
      <x:c r="CH23" s="59"/>
      <x:c r="CI23" s="59"/>
      <x:c r="CJ23" s="59"/>
      <x:c r="CK23" s="59"/>
      <x:c r="CL23" s="59"/>
      <x:c r="CM23" s="59"/>
      <x:c r="CN23" s="59"/>
      <x:c r="CO23" s="59"/>
      <x:c r="CP23" s="59"/>
      <x:c r="CQ23" s="59"/>
      <x:c r="CR23" s="59"/>
      <x:c r="CS23" s="59"/>
      <x:c r="CT23" s="59"/>
      <x:c r="CU23" s="59"/>
      <x:c r="CV23" s="59"/>
      <x:c r="CW23" s="59"/>
      <x:c r="CX23" s="59"/>
      <x:c r="CY23" s="59"/>
      <x:c r="CZ23" s="59"/>
      <x:c r="DA23" s="59"/>
      <x:c r="DB23" s="59"/>
      <x:c r="DC23" s="59"/>
      <x:c r="DD23" s="59"/>
      <x:c r="DE23" s="59"/>
      <x:c r="DF23" s="59"/>
      <x:c r="DG23" s="59"/>
      <x:c r="DH23" s="59"/>
      <x:c r="DI23" s="59"/>
      <x:c r="DJ23" s="59"/>
      <x:c r="DK23" s="59"/>
      <x:c r="DL23" s="59"/>
      <x:c r="DM23" s="59"/>
      <x:c r="DN23" s="59"/>
      <x:c r="DO23" s="59"/>
      <x:c r="DP23" s="59"/>
      <x:c r="DQ23" s="59"/>
      <x:c r="DR23" s="59"/>
      <x:c r="DS23" s="59"/>
      <x:c r="DT23" s="59"/>
      <x:c r="DU23" s="59"/>
      <x:c r="DV23" s="59"/>
      <x:c r="DW23" s="59"/>
      <x:c r="DX23" s="59"/>
      <x:c r="DY23" s="59"/>
      <x:c r="DZ23" s="59"/>
      <x:c r="EA23" s="59"/>
      <x:c r="EB23" s="59"/>
      <x:c r="EC23" s="59"/>
      <x:c r="ED23" s="59"/>
      <x:c r="EE23" s="59"/>
      <x:c r="EF23" s="59"/>
      <x:c r="EG23" s="59"/>
      <x:c r="EH23" s="59"/>
      <x:c r="EI23" s="59"/>
      <x:c r="EJ23" s="59"/>
      <x:c r="EK23" s="59"/>
      <x:c r="EL23" s="59"/>
      <x:c r="EM23" s="59"/>
      <x:c r="EN23" s="59"/>
      <x:c r="EO23" s="59"/>
      <x:c r="EP23" s="59"/>
      <x:c r="EQ23" s="59"/>
      <x:c r="ER23" s="59"/>
      <x:c r="ES23" s="59"/>
      <x:c r="ET23" s="59"/>
      <x:c r="EU23" s="59"/>
      <x:c r="EV23" s="59"/>
      <x:c r="EW23" s="59"/>
      <x:c r="EX23" s="59"/>
      <x:c r="EY23" s="59"/>
      <x:c r="EZ23" s="59"/>
      <x:c r="FA23" s="59"/>
      <x:c r="FB23" s="59"/>
      <x:c r="FC23" s="59"/>
      <x:c r="FD23" s="59"/>
      <x:c r="FE23" s="59"/>
      <x:c r="FF23" s="59"/>
      <x:c r="FG23" s="59"/>
      <x:c r="FH23" s="59"/>
      <x:c r="FI23" s="59"/>
      <x:c r="FJ23" s="59"/>
      <x:c r="FK23" s="59"/>
      <x:c r="FL23" s="59"/>
      <x:c r="FM23" s="59"/>
      <x:c r="FN23" s="59"/>
      <x:c r="FO23" s="59"/>
      <x:c r="FP23" s="59"/>
      <x:c r="FQ23" s="59"/>
      <x:c r="FR23" s="59"/>
      <x:c r="FS23" s="59"/>
      <x:c r="FT23" s="59"/>
      <x:c r="FU23" s="59"/>
      <x:c r="FV23" s="59"/>
      <x:c r="FW23" s="59"/>
      <x:c r="FX23" s="59"/>
      <x:c r="FY23" s="59"/>
      <x:c r="FZ23" s="59"/>
      <x:c r="GA23" s="59"/>
      <x:c r="GB23" s="59"/>
      <x:c r="GC23" s="59"/>
      <x:c r="GD23" s="59"/>
      <x:c r="GE23" s="59"/>
      <x:c r="GF23" s="59"/>
      <x:c r="GG23" s="59"/>
      <x:c r="GH23" s="59"/>
      <x:c r="GI23" s="59"/>
      <x:c r="GJ23" s="59"/>
      <x:c r="GK23" s="59"/>
      <x:c r="GL23" s="59"/>
      <x:c r="GM23" s="59"/>
      <x:c r="GN23" s="59"/>
      <x:c r="GO23" s="59"/>
      <x:c r="GP23" s="59"/>
      <x:c r="GQ23" s="59"/>
      <x:c r="GR23" s="59"/>
      <x:c r="GS23" s="59"/>
      <x:c r="GT23" s="59"/>
      <x:c r="GU23" s="59"/>
      <x:c r="GV23" s="59"/>
      <x:c r="GW23" s="59"/>
      <x:c r="GX23" s="59"/>
      <x:c r="GY23" s="59"/>
      <x:c r="GZ23" s="59"/>
      <x:c r="HA23" s="59"/>
      <x:c r="HB23" s="59"/>
      <x:c r="HC23" s="59"/>
      <x:c r="HD23" s="59"/>
      <x:c r="HE23" s="59"/>
      <x:c r="HF23" s="59"/>
      <x:c r="HG23" s="59"/>
      <x:c r="HH23" s="59"/>
      <x:c r="HI23" s="59"/>
      <x:c r="HJ23" s="59"/>
      <x:c r="HK23" s="59"/>
      <x:c r="HL23" s="59"/>
      <x:c r="HM23" s="59"/>
      <x:c r="HN23" s="59"/>
      <x:c r="HO23" s="59"/>
      <x:c r="HP23" s="59"/>
      <x:c r="HQ23" s="59"/>
      <x:c r="HR23" s="59"/>
      <x:c r="HS23" s="59"/>
      <x:c r="HT23" s="59"/>
      <x:c r="HU23" s="59"/>
      <x:c r="HV23" s="59"/>
      <x:c r="HW23" s="59"/>
      <x:c r="HX23" s="59"/>
      <x:c r="HY23" s="59"/>
      <x:c r="HZ23" s="59"/>
      <x:c r="IA23" s="59"/>
      <x:c r="IB23" s="59"/>
      <x:c r="IC23" s="59"/>
      <x:c r="ID23" s="59"/>
      <x:c r="IE23" s="59"/>
      <x:c r="IF23" s="59"/>
      <x:c r="IG23" s="59"/>
      <x:c r="IH23" s="59"/>
      <x:c r="II23" s="59"/>
      <x:c r="IJ23" s="59"/>
      <x:c r="IK23" s="59"/>
      <x:c r="IL23" s="59"/>
      <x:c r="IM23" s="59"/>
      <x:c r="IN23" s="59"/>
      <x:c r="IO23" s="59"/>
      <x:c r="IP23" s="59"/>
      <x:c r="IQ23" s="59"/>
      <x:c r="IR23" s="59"/>
      <x:c r="IS23" s="59"/>
      <x:c r="IT23" s="59"/>
      <x:c r="IU23" s="59"/>
      <x:c r="IV23" s="59"/>
      <x:c r="IW23" s="59"/>
      <x:c r="IX23" s="59"/>
      <x:c r="IY23" s="59"/>
      <x:c r="IZ23" s="59"/>
      <x:c r="JA23" s="59"/>
      <x:c r="JB23" s="59"/>
      <x:c r="JC23" s="59"/>
      <x:c r="JD23" s="59"/>
      <x:c r="JE23" s="59"/>
      <x:c r="JF23" s="59"/>
      <x:c r="JG23" s="59"/>
      <x:c r="JH23" s="59"/>
      <x:c r="JI23" s="59"/>
      <x:c r="JJ23" s="59"/>
      <x:c r="JK23" s="59"/>
      <x:c r="JL23" s="59"/>
      <x:c r="JM23" s="59"/>
      <x:c r="JN23" s="59"/>
      <x:c r="JO23" s="59"/>
      <x:c r="JP23" s="59"/>
      <x:c r="JQ23" s="59"/>
      <x:c r="JR23" s="59"/>
      <x:c r="JS23" s="59"/>
      <x:c r="JT23" s="59"/>
      <x:c r="JU23" s="59"/>
      <x:c r="JV23" s="59"/>
      <x:c r="JW23" s="59"/>
      <x:c r="JX23" s="59"/>
      <x:c r="JY23" s="59"/>
      <x:c r="JZ23" s="59"/>
      <x:c r="KA23" s="59"/>
      <x:c r="KB23" s="59"/>
      <x:c r="KC23" s="59"/>
      <x:c r="KD23" s="59"/>
      <x:c r="KE23" s="59"/>
      <x:c r="KF23" s="59"/>
      <x:c r="KG23" s="59"/>
      <x:c r="KH23" s="59"/>
      <x:c r="KI23" s="59"/>
      <x:c r="KJ23" s="59"/>
      <x:c r="KK23" s="59"/>
      <x:c r="KL23" s="59"/>
      <x:c r="KM23" s="59"/>
      <x:c r="KN23" s="59"/>
      <x:c r="KO23" s="59"/>
      <x:c r="KP23" s="59"/>
      <x:c r="KQ23" s="59"/>
      <x:c r="KR23" s="59"/>
      <x:c r="KS23" s="59"/>
      <x:c r="KT23" s="59"/>
      <x:c r="KU23" s="59"/>
      <x:c r="KV23" s="59"/>
      <x:c r="KW23" s="59"/>
      <x:c r="KX23" s="59"/>
      <x:c r="KY23" s="59"/>
      <x:c r="KZ23" s="59"/>
      <x:c r="LA23" s="59"/>
      <x:c r="LB23" s="59"/>
      <x:c r="LC23" s="59"/>
      <x:c r="LD23" s="59"/>
      <x:c r="LE23" s="59"/>
      <x:c r="LF23" s="59"/>
      <x:c r="LG23" s="59"/>
      <x:c r="LH23" s="59"/>
      <x:c r="LI23" s="59"/>
      <x:c r="LJ23" s="59"/>
      <x:c r="LK23" s="59"/>
      <x:c r="LL23" s="59"/>
      <x:c r="LM23" s="59"/>
      <x:c r="LN23" s="59"/>
      <x:c r="LO23" s="59"/>
      <x:c r="LP23" s="59"/>
      <x:c r="LQ23" s="59"/>
      <x:c r="LR23" s="59"/>
      <x:c r="LS23" s="59"/>
      <x:c r="LT23" s="59"/>
      <x:c r="LU23" s="59"/>
      <x:c r="LV23" s="59"/>
      <x:c r="LW23" s="59"/>
      <x:c r="LX23" s="59"/>
      <x:c r="LY23" s="59"/>
      <x:c r="LZ23" s="59"/>
      <x:c r="MA23" s="59"/>
      <x:c r="MB23" s="59"/>
      <x:c r="MC23" s="59"/>
      <x:c r="MD23" s="59"/>
      <x:c r="ME23" s="59"/>
      <x:c r="MF23" s="59"/>
      <x:c r="MG23" s="59"/>
      <x:c r="MH23" s="59"/>
      <x:c r="MI23" s="59"/>
      <x:c r="MJ23" s="59"/>
      <x:c r="MK23" s="59"/>
      <x:c r="ML23" s="59"/>
      <x:c r="MM23" s="59"/>
      <x:c r="MN23" s="59"/>
      <x:c r="MO23" s="59"/>
      <x:c r="MP23" s="59"/>
      <x:c r="MQ23" s="59"/>
      <x:c r="MR23" s="59"/>
      <x:c r="MS23" s="59"/>
      <x:c r="MT23" s="59"/>
      <x:c r="MU23" s="59"/>
      <x:c r="MV23" s="59"/>
      <x:c r="MW23" s="59"/>
      <x:c r="MX23" s="59"/>
      <x:c r="MY23" s="59"/>
      <x:c r="MZ23" s="59"/>
      <x:c r="NA23" s="59"/>
      <x:c r="NB23" s="59"/>
      <x:c r="NC23" s="59"/>
      <x:c r="ND23" s="59"/>
      <x:c r="NE23" s="59"/>
      <x:c r="NF23" s="59"/>
      <x:c r="NG23" s="59"/>
      <x:c r="NH23" s="59"/>
      <x:c r="NI23" s="59"/>
      <x:c r="NJ23" s="59"/>
      <x:c r="NK23" s="59"/>
      <x:c r="NL23" s="59"/>
      <x:c r="NM23" s="59"/>
      <x:c r="NN23" s="59"/>
      <x:c r="NO23" s="59"/>
      <x:c r="NP23" s="59"/>
      <x:c r="NQ23" s="59"/>
      <x:c r="NR23" s="59"/>
      <x:c r="NS23" s="59"/>
      <x:c r="NT23" s="59"/>
      <x:c r="NU23" s="59"/>
      <x:c r="NV23" s="59"/>
      <x:c r="NW23" s="59"/>
      <x:c r="NX23" s="59"/>
      <x:c r="NY23" s="59"/>
      <x:c r="NZ23" s="59"/>
      <x:c r="OA23" s="59"/>
      <x:c r="OB23" s="59"/>
      <x:c r="OC23" s="59"/>
      <x:c r="OD23" s="59"/>
      <x:c r="OE23" s="59"/>
      <x:c r="OF23" s="59"/>
      <x:c r="OG23" s="59"/>
      <x:c r="OH23" s="59"/>
      <x:c r="OI23" s="59"/>
      <x:c r="OJ23" s="59"/>
      <x:c r="OK23" s="59"/>
      <x:c r="OL23" s="59"/>
      <x:c r="OM23" s="59"/>
      <x:c r="ON23" s="59"/>
      <x:c r="OO23" s="59"/>
      <x:c r="OP23" s="59"/>
      <x:c r="OQ23" s="59"/>
      <x:c r="OR23" s="59"/>
      <x:c r="OS23" s="59"/>
      <x:c r="OT23" s="59"/>
      <x:c r="OU23" s="59"/>
      <x:c r="OV23" s="59"/>
      <x:c r="OW23" s="59"/>
      <x:c r="OX23" s="59"/>
      <x:c r="OY23" s="59"/>
      <x:c r="OZ23" s="59"/>
      <x:c r="PA23" s="59"/>
      <x:c r="PB23" s="59"/>
      <x:c r="PC23" s="59"/>
      <x:c r="PD23" s="59"/>
      <x:c r="PE23" s="59"/>
      <x:c r="PF23" s="59"/>
      <x:c r="PG23" s="59"/>
      <x:c r="PH23" s="59"/>
      <x:c r="PI23" s="59"/>
      <x:c r="PJ23" s="59"/>
      <x:c r="PK23" s="59"/>
      <x:c r="PL23" s="59"/>
      <x:c r="PM23" s="59"/>
      <x:c r="PN23" s="59"/>
      <x:c r="PO23" s="59"/>
      <x:c r="PP23" s="59"/>
      <x:c r="PQ23" s="59"/>
      <x:c r="PR23" s="59"/>
      <x:c r="PS23" s="59"/>
      <x:c r="PT23" s="59"/>
      <x:c r="PU23" s="59"/>
      <x:c r="PV23" s="59"/>
      <x:c r="PW23" s="59"/>
      <x:c r="PX23" s="59"/>
      <x:c r="PY23" s="59"/>
      <x:c r="PZ23" s="59"/>
      <x:c r="QA23" s="59"/>
      <x:c r="QB23" s="59"/>
      <x:c r="QC23" s="59"/>
      <x:c r="QD23" s="59"/>
      <x:c r="QE23" s="59"/>
      <x:c r="QF23" s="59"/>
      <x:c r="QG23" s="59"/>
      <x:c r="QH23" s="59"/>
      <x:c r="QI23" s="59"/>
      <x:c r="QJ23" s="59"/>
      <x:c r="QK23" s="59"/>
      <x:c r="QL23" s="59"/>
      <x:c r="QM23" s="59"/>
      <x:c r="QN23" s="59"/>
      <x:c r="QO23" s="59"/>
      <x:c r="QP23" s="59"/>
      <x:c r="QQ23" s="59"/>
      <x:c r="QR23" s="59"/>
      <x:c r="QS23" s="59"/>
      <x:c r="QT23" s="59"/>
      <x:c r="QU23" s="59"/>
      <x:c r="QV23" s="59"/>
      <x:c r="QW23" s="59"/>
      <x:c r="QX23" s="59"/>
      <x:c r="QY23" s="59"/>
      <x:c r="QZ23" s="59"/>
      <x:c r="RA23" s="59"/>
      <x:c r="RB23" s="59"/>
      <x:c r="RC23" s="59"/>
      <x:c r="RD23" s="59"/>
      <x:c r="RE23" s="59"/>
      <x:c r="RF23" s="59"/>
      <x:c r="RG23" s="59"/>
      <x:c r="RH23" s="59"/>
      <x:c r="RI23" s="59"/>
      <x:c r="RJ23" s="59"/>
      <x:c r="RK23" s="59"/>
      <x:c r="RL23" s="59"/>
      <x:c r="RM23" s="59"/>
      <x:c r="RN23" s="59"/>
      <x:c r="RO23" s="59"/>
      <x:c r="RP23" s="59"/>
      <x:c r="RQ23" s="59"/>
      <x:c r="RR23" s="59"/>
      <x:c r="RS23" s="59"/>
      <x:c r="RT23" s="59"/>
      <x:c r="RU23" s="59"/>
      <x:c r="RV23" s="59"/>
      <x:c r="RW23" s="59"/>
      <x:c r="RX23" s="59"/>
      <x:c r="RY23" s="59"/>
      <x:c r="RZ23" s="59"/>
      <x:c r="SA23" s="59"/>
      <x:c r="SB23" s="59"/>
      <x:c r="SC23" s="59"/>
      <x:c r="SD23" s="59"/>
      <x:c r="SE23" s="59"/>
      <x:c r="SF23" s="59"/>
    </x:row>
    <x:row r="24" ht="27" customHeight="1">
      <x:c r="A24" s="60">
        <x:v>2</x:v>
      </x:c>
      <x:c r="B24" s="63" t="s">
        <x:v>35</x:v>
      </x:c>
      <x:c r="C24" s="63"/>
      <x:c r="D24" s="63" t="s">
        <x:v>36</x:v>
      </x:c>
      <x:c r="E24" s="63"/>
      <x:c r="F24" s="63" t="s">
        <x:v>37</x:v>
      </x:c>
      <x:c r="G24" s="63"/>
      <x:c r="H24" s="63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  <x:c r="AA24" s="59"/>
      <x:c r="AB24" s="59"/>
      <x:c r="AC24" s="59"/>
      <x:c r="AD24" s="59"/>
      <x:c r="AE24" s="59"/>
      <x:c r="AF24" s="59"/>
      <x:c r="AG24" s="59"/>
      <x:c r="AH24" s="59"/>
      <x:c r="AI24" s="59"/>
      <x:c r="AJ24" s="59"/>
      <x:c r="AK24" s="59"/>
      <x:c r="AL24" s="59"/>
      <x:c r="AM24" s="59"/>
      <x:c r="AN24" s="59"/>
      <x:c r="AO24" s="59"/>
      <x:c r="AP24" s="59"/>
      <x:c r="AQ24" s="59"/>
      <x:c r="AR24" s="59"/>
      <x:c r="AS24" s="59"/>
      <x:c r="AT24" s="59"/>
      <x:c r="AU24" s="59"/>
      <x:c r="AV24" s="59"/>
      <x:c r="AW24" s="59"/>
      <x:c r="AX24" s="59"/>
      <x:c r="AY24" s="59"/>
      <x:c r="AZ24" s="59"/>
      <x:c r="BA24" s="59"/>
      <x:c r="BB24" s="59"/>
      <x:c r="BC24" s="59"/>
      <x:c r="BD24" s="59"/>
      <x:c r="BE24" s="59"/>
      <x:c r="BF24" s="59"/>
      <x:c r="BG24" s="59"/>
      <x:c r="BH24" s="59"/>
      <x:c r="BI24" s="59"/>
      <x:c r="BJ24" s="59"/>
      <x:c r="BK24" s="59"/>
      <x:c r="BL24" s="59"/>
      <x:c r="BM24" s="59"/>
      <x:c r="BN24" s="59"/>
      <x:c r="BO24" s="59"/>
      <x:c r="BP24" s="59"/>
      <x:c r="BQ24" s="59"/>
      <x:c r="BR24" s="59"/>
      <x:c r="BS24" s="59"/>
      <x:c r="BT24" s="59"/>
      <x:c r="BU24" s="59"/>
      <x:c r="BV24" s="59"/>
      <x:c r="BW24" s="59"/>
      <x:c r="BX24" s="59"/>
      <x:c r="BY24" s="59"/>
      <x:c r="BZ24" s="59"/>
      <x:c r="CA24" s="59"/>
      <x:c r="CB24" s="59"/>
      <x:c r="CC24" s="59"/>
      <x:c r="CD24" s="59"/>
      <x:c r="CE24" s="59"/>
      <x:c r="CF24" s="59"/>
      <x:c r="CG24" s="59"/>
      <x:c r="CH24" s="59"/>
      <x:c r="CI24" s="59"/>
      <x:c r="CJ24" s="59"/>
      <x:c r="CK24" s="59"/>
      <x:c r="CL24" s="59"/>
      <x:c r="CM24" s="59"/>
      <x:c r="CN24" s="59"/>
      <x:c r="CO24" s="59"/>
      <x:c r="CP24" s="59"/>
      <x:c r="CQ24" s="59"/>
      <x:c r="CR24" s="59"/>
      <x:c r="CS24" s="59"/>
      <x:c r="CT24" s="59"/>
      <x:c r="CU24" s="59"/>
      <x:c r="CV24" s="59"/>
      <x:c r="CW24" s="59"/>
      <x:c r="CX24" s="59"/>
      <x:c r="CY24" s="59"/>
      <x:c r="CZ24" s="59"/>
      <x:c r="DA24" s="59"/>
      <x:c r="DB24" s="59"/>
      <x:c r="DC24" s="59"/>
      <x:c r="DD24" s="59"/>
      <x:c r="DE24" s="59"/>
      <x:c r="DF24" s="59"/>
      <x:c r="DG24" s="59"/>
      <x:c r="DH24" s="59"/>
      <x:c r="DI24" s="59"/>
      <x:c r="DJ24" s="59"/>
      <x:c r="DK24" s="59"/>
      <x:c r="DL24" s="59"/>
      <x:c r="DM24" s="59"/>
      <x:c r="DN24" s="59"/>
      <x:c r="DO24" s="59"/>
      <x:c r="DP24" s="59"/>
      <x:c r="DQ24" s="59"/>
      <x:c r="DR24" s="59"/>
      <x:c r="DS24" s="59"/>
      <x:c r="DT24" s="59"/>
      <x:c r="DU24" s="59"/>
      <x:c r="DV24" s="59"/>
      <x:c r="DW24" s="59"/>
      <x:c r="DX24" s="59"/>
      <x:c r="DY24" s="59"/>
      <x:c r="DZ24" s="59"/>
      <x:c r="EA24" s="59"/>
      <x:c r="EB24" s="59"/>
      <x:c r="EC24" s="59"/>
      <x:c r="ED24" s="59"/>
      <x:c r="EE24" s="59"/>
      <x:c r="EF24" s="59"/>
      <x:c r="EG24" s="59"/>
      <x:c r="EH24" s="59"/>
      <x:c r="EI24" s="59"/>
      <x:c r="EJ24" s="59"/>
      <x:c r="EK24" s="59"/>
      <x:c r="EL24" s="59"/>
      <x:c r="EM24" s="59"/>
      <x:c r="EN24" s="59"/>
      <x:c r="EO24" s="59"/>
      <x:c r="EP24" s="59"/>
      <x:c r="EQ24" s="59"/>
      <x:c r="ER24" s="59"/>
      <x:c r="ES24" s="59"/>
      <x:c r="ET24" s="59"/>
      <x:c r="EU24" s="59"/>
      <x:c r="EV24" s="59"/>
      <x:c r="EW24" s="59"/>
      <x:c r="EX24" s="59"/>
      <x:c r="EY24" s="59"/>
      <x:c r="EZ24" s="59"/>
      <x:c r="FA24" s="59"/>
      <x:c r="FB24" s="59"/>
      <x:c r="FC24" s="59"/>
      <x:c r="FD24" s="59"/>
      <x:c r="FE24" s="59"/>
      <x:c r="FF24" s="59"/>
      <x:c r="FG24" s="59"/>
      <x:c r="FH24" s="59"/>
      <x:c r="FI24" s="59"/>
      <x:c r="FJ24" s="59"/>
      <x:c r="FK24" s="59"/>
      <x:c r="FL24" s="59"/>
      <x:c r="FM24" s="59"/>
      <x:c r="FN24" s="59"/>
      <x:c r="FO24" s="59"/>
      <x:c r="FP24" s="59"/>
      <x:c r="FQ24" s="59"/>
      <x:c r="FR24" s="59"/>
      <x:c r="FS24" s="59"/>
      <x:c r="FT24" s="59"/>
      <x:c r="FU24" s="59"/>
      <x:c r="FV24" s="59"/>
      <x:c r="FW24" s="59"/>
      <x:c r="FX24" s="59"/>
      <x:c r="FY24" s="59"/>
      <x:c r="FZ24" s="59"/>
      <x:c r="GA24" s="59"/>
      <x:c r="GB24" s="59"/>
      <x:c r="GC24" s="59"/>
      <x:c r="GD24" s="59"/>
      <x:c r="GE24" s="59"/>
      <x:c r="GF24" s="59"/>
      <x:c r="GG24" s="59"/>
      <x:c r="GH24" s="59"/>
      <x:c r="GI24" s="59"/>
      <x:c r="GJ24" s="59"/>
      <x:c r="GK24" s="59"/>
      <x:c r="GL24" s="59"/>
      <x:c r="GM24" s="59"/>
      <x:c r="GN24" s="59"/>
      <x:c r="GO24" s="59"/>
      <x:c r="GP24" s="59"/>
      <x:c r="GQ24" s="59"/>
      <x:c r="GR24" s="59"/>
      <x:c r="GS24" s="59"/>
      <x:c r="GT24" s="59"/>
      <x:c r="GU24" s="59"/>
      <x:c r="GV24" s="59"/>
      <x:c r="GW24" s="59"/>
      <x:c r="GX24" s="59"/>
      <x:c r="GY24" s="59"/>
      <x:c r="GZ24" s="59"/>
      <x:c r="HA24" s="59"/>
      <x:c r="HB24" s="59"/>
      <x:c r="HC24" s="59"/>
      <x:c r="HD24" s="59"/>
      <x:c r="HE24" s="59"/>
      <x:c r="HF24" s="59"/>
      <x:c r="HG24" s="59"/>
      <x:c r="HH24" s="59"/>
      <x:c r="HI24" s="59"/>
      <x:c r="HJ24" s="59"/>
      <x:c r="HK24" s="59"/>
      <x:c r="HL24" s="59"/>
      <x:c r="HM24" s="59"/>
      <x:c r="HN24" s="59"/>
      <x:c r="HO24" s="59"/>
      <x:c r="HP24" s="59"/>
      <x:c r="HQ24" s="59"/>
      <x:c r="HR24" s="59"/>
      <x:c r="HS24" s="59"/>
      <x:c r="HT24" s="59"/>
      <x:c r="HU24" s="59"/>
      <x:c r="HV24" s="59"/>
      <x:c r="HW24" s="59"/>
      <x:c r="HX24" s="59"/>
      <x:c r="HY24" s="59"/>
      <x:c r="HZ24" s="59"/>
      <x:c r="IA24" s="59"/>
      <x:c r="IB24" s="59"/>
      <x:c r="IC24" s="59"/>
      <x:c r="ID24" s="59"/>
      <x:c r="IE24" s="59"/>
      <x:c r="IF24" s="59"/>
      <x:c r="IG24" s="59"/>
      <x:c r="IH24" s="59"/>
      <x:c r="II24" s="59"/>
      <x:c r="IJ24" s="59"/>
      <x:c r="IK24" s="59"/>
      <x:c r="IL24" s="59"/>
      <x:c r="IM24" s="59"/>
      <x:c r="IN24" s="59"/>
      <x:c r="IO24" s="59"/>
      <x:c r="IP24" s="59"/>
      <x:c r="IQ24" s="59"/>
      <x:c r="IR24" s="59"/>
      <x:c r="IS24" s="59"/>
      <x:c r="IT24" s="59"/>
      <x:c r="IU24" s="59"/>
      <x:c r="IV24" s="59"/>
      <x:c r="IW24" s="59"/>
      <x:c r="IX24" s="59"/>
      <x:c r="IY24" s="59"/>
      <x:c r="IZ24" s="59"/>
      <x:c r="JA24" s="59"/>
      <x:c r="JB24" s="59"/>
      <x:c r="JC24" s="59"/>
      <x:c r="JD24" s="59"/>
      <x:c r="JE24" s="59"/>
      <x:c r="JF24" s="59"/>
      <x:c r="JG24" s="59"/>
      <x:c r="JH24" s="59"/>
      <x:c r="JI24" s="59"/>
      <x:c r="JJ24" s="59"/>
      <x:c r="JK24" s="59"/>
      <x:c r="JL24" s="59"/>
      <x:c r="JM24" s="59"/>
      <x:c r="JN24" s="59"/>
      <x:c r="JO24" s="59"/>
      <x:c r="JP24" s="59"/>
      <x:c r="JQ24" s="59"/>
      <x:c r="JR24" s="59"/>
      <x:c r="JS24" s="59"/>
      <x:c r="JT24" s="59"/>
      <x:c r="JU24" s="59"/>
      <x:c r="JV24" s="59"/>
      <x:c r="JW24" s="59"/>
      <x:c r="JX24" s="59"/>
      <x:c r="JY24" s="59"/>
      <x:c r="JZ24" s="59"/>
      <x:c r="KA24" s="59"/>
      <x:c r="KB24" s="59"/>
      <x:c r="KC24" s="59"/>
      <x:c r="KD24" s="59"/>
      <x:c r="KE24" s="59"/>
      <x:c r="KF24" s="59"/>
      <x:c r="KG24" s="59"/>
      <x:c r="KH24" s="59"/>
      <x:c r="KI24" s="59"/>
      <x:c r="KJ24" s="59"/>
      <x:c r="KK24" s="59"/>
      <x:c r="KL24" s="59"/>
      <x:c r="KM24" s="59"/>
      <x:c r="KN24" s="59"/>
      <x:c r="KO24" s="59"/>
      <x:c r="KP24" s="59"/>
      <x:c r="KQ24" s="59"/>
      <x:c r="KR24" s="59"/>
      <x:c r="KS24" s="59"/>
      <x:c r="KT24" s="59"/>
      <x:c r="KU24" s="59"/>
      <x:c r="KV24" s="59"/>
      <x:c r="KW24" s="59"/>
      <x:c r="KX24" s="59"/>
      <x:c r="KY24" s="59"/>
      <x:c r="KZ24" s="59"/>
      <x:c r="LA24" s="59"/>
      <x:c r="LB24" s="59"/>
      <x:c r="LC24" s="59"/>
      <x:c r="LD24" s="59"/>
      <x:c r="LE24" s="59"/>
      <x:c r="LF24" s="59"/>
      <x:c r="LG24" s="59"/>
      <x:c r="LH24" s="59"/>
      <x:c r="LI24" s="59"/>
      <x:c r="LJ24" s="59"/>
      <x:c r="LK24" s="59"/>
      <x:c r="LL24" s="59"/>
      <x:c r="LM24" s="59"/>
      <x:c r="LN24" s="59"/>
      <x:c r="LO24" s="59"/>
      <x:c r="LP24" s="59"/>
      <x:c r="LQ24" s="59"/>
      <x:c r="LR24" s="59"/>
      <x:c r="LS24" s="59"/>
      <x:c r="LT24" s="59"/>
      <x:c r="LU24" s="59"/>
      <x:c r="LV24" s="59"/>
      <x:c r="LW24" s="59"/>
      <x:c r="LX24" s="59"/>
      <x:c r="LY24" s="59"/>
      <x:c r="LZ24" s="59"/>
      <x:c r="MA24" s="59"/>
      <x:c r="MB24" s="59"/>
      <x:c r="MC24" s="59"/>
      <x:c r="MD24" s="59"/>
      <x:c r="ME24" s="59"/>
      <x:c r="MF24" s="59"/>
      <x:c r="MG24" s="59"/>
      <x:c r="MH24" s="59"/>
      <x:c r="MI24" s="59"/>
      <x:c r="MJ24" s="59"/>
      <x:c r="MK24" s="59"/>
      <x:c r="ML24" s="59"/>
      <x:c r="MM24" s="59"/>
      <x:c r="MN24" s="59"/>
      <x:c r="MO24" s="59"/>
      <x:c r="MP24" s="59"/>
      <x:c r="MQ24" s="59"/>
      <x:c r="MR24" s="59"/>
      <x:c r="MS24" s="59"/>
      <x:c r="MT24" s="59"/>
      <x:c r="MU24" s="59"/>
      <x:c r="MV24" s="59"/>
      <x:c r="MW24" s="59"/>
      <x:c r="MX24" s="59"/>
      <x:c r="MY24" s="59"/>
      <x:c r="MZ24" s="59"/>
      <x:c r="NA24" s="59"/>
      <x:c r="NB24" s="59"/>
      <x:c r="NC24" s="59"/>
      <x:c r="ND24" s="59"/>
      <x:c r="NE24" s="59"/>
      <x:c r="NF24" s="59"/>
      <x:c r="NG24" s="59"/>
      <x:c r="NH24" s="59"/>
      <x:c r="NI24" s="59"/>
      <x:c r="NJ24" s="59"/>
      <x:c r="NK24" s="59"/>
      <x:c r="NL24" s="59"/>
      <x:c r="NM24" s="59"/>
      <x:c r="NN24" s="59"/>
      <x:c r="NO24" s="59"/>
      <x:c r="NP24" s="59"/>
      <x:c r="NQ24" s="59"/>
      <x:c r="NR24" s="59"/>
      <x:c r="NS24" s="59"/>
      <x:c r="NT24" s="59"/>
      <x:c r="NU24" s="59"/>
      <x:c r="NV24" s="59"/>
      <x:c r="NW24" s="59"/>
      <x:c r="NX24" s="59"/>
      <x:c r="NY24" s="59"/>
      <x:c r="NZ24" s="59"/>
      <x:c r="OA24" s="59"/>
      <x:c r="OB24" s="59"/>
      <x:c r="OC24" s="59"/>
      <x:c r="OD24" s="59"/>
      <x:c r="OE24" s="59"/>
      <x:c r="OF24" s="59"/>
      <x:c r="OG24" s="59"/>
      <x:c r="OH24" s="59"/>
      <x:c r="OI24" s="59"/>
      <x:c r="OJ24" s="59"/>
      <x:c r="OK24" s="59"/>
      <x:c r="OL24" s="59"/>
      <x:c r="OM24" s="59"/>
      <x:c r="ON24" s="59"/>
      <x:c r="OO24" s="59"/>
      <x:c r="OP24" s="59"/>
      <x:c r="OQ24" s="59"/>
      <x:c r="OR24" s="59"/>
      <x:c r="OS24" s="59"/>
      <x:c r="OT24" s="59"/>
      <x:c r="OU24" s="59"/>
      <x:c r="OV24" s="59"/>
      <x:c r="OW24" s="59"/>
      <x:c r="OX24" s="59"/>
      <x:c r="OY24" s="59"/>
      <x:c r="OZ24" s="59"/>
      <x:c r="PA24" s="59"/>
      <x:c r="PB24" s="59"/>
      <x:c r="PC24" s="59"/>
      <x:c r="PD24" s="59"/>
      <x:c r="PE24" s="59"/>
      <x:c r="PF24" s="59"/>
      <x:c r="PG24" s="59"/>
      <x:c r="PH24" s="59"/>
      <x:c r="PI24" s="59"/>
      <x:c r="PJ24" s="59"/>
      <x:c r="PK24" s="59"/>
      <x:c r="PL24" s="59"/>
      <x:c r="PM24" s="59"/>
      <x:c r="PN24" s="59"/>
      <x:c r="PO24" s="59"/>
      <x:c r="PP24" s="59"/>
      <x:c r="PQ24" s="59"/>
      <x:c r="PR24" s="59"/>
      <x:c r="PS24" s="59"/>
      <x:c r="PT24" s="59"/>
      <x:c r="PU24" s="59"/>
      <x:c r="PV24" s="59"/>
      <x:c r="PW24" s="59"/>
      <x:c r="PX24" s="59"/>
      <x:c r="PY24" s="59"/>
      <x:c r="PZ24" s="59"/>
      <x:c r="QA24" s="59"/>
      <x:c r="QB24" s="59"/>
      <x:c r="QC24" s="59"/>
      <x:c r="QD24" s="59"/>
      <x:c r="QE24" s="59"/>
      <x:c r="QF24" s="59"/>
      <x:c r="QG24" s="59"/>
      <x:c r="QH24" s="59"/>
      <x:c r="QI24" s="59"/>
      <x:c r="QJ24" s="59"/>
      <x:c r="QK24" s="59"/>
      <x:c r="QL24" s="59"/>
      <x:c r="QM24" s="59"/>
      <x:c r="QN24" s="59"/>
      <x:c r="QO24" s="59"/>
      <x:c r="QP24" s="59"/>
      <x:c r="QQ24" s="59"/>
      <x:c r="QR24" s="59"/>
      <x:c r="QS24" s="59"/>
      <x:c r="QT24" s="59"/>
      <x:c r="QU24" s="59"/>
      <x:c r="QV24" s="59"/>
      <x:c r="QW24" s="59"/>
      <x:c r="QX24" s="59"/>
      <x:c r="QY24" s="59"/>
      <x:c r="QZ24" s="59"/>
      <x:c r="RA24" s="59"/>
      <x:c r="RB24" s="59"/>
      <x:c r="RC24" s="59"/>
      <x:c r="RD24" s="59"/>
      <x:c r="RE24" s="59"/>
      <x:c r="RF24" s="59"/>
      <x:c r="RG24" s="59"/>
      <x:c r="RH24" s="59"/>
      <x:c r="RI24" s="59"/>
      <x:c r="RJ24" s="59"/>
      <x:c r="RK24" s="59"/>
      <x:c r="RL24" s="59"/>
      <x:c r="RM24" s="59"/>
      <x:c r="RN24" s="59"/>
      <x:c r="RO24" s="59"/>
      <x:c r="RP24" s="59"/>
      <x:c r="RQ24" s="59"/>
      <x:c r="RR24" s="59"/>
      <x:c r="RS24" s="59"/>
      <x:c r="RT24" s="59"/>
      <x:c r="RU24" s="59"/>
      <x:c r="RV24" s="59"/>
      <x:c r="RW24" s="59"/>
      <x:c r="RX24" s="59"/>
      <x:c r="RY24" s="59"/>
      <x:c r="RZ24" s="59"/>
      <x:c r="SA24" s="59"/>
      <x:c r="SB24" s="59"/>
      <x:c r="SC24" s="59"/>
      <x:c r="SD24" s="59"/>
      <x:c r="SE24" s="59"/>
      <x:c r="SF24" s="59"/>
    </x:row>
    <x:row r="25" ht="27" customHeight="1">
      <x:c r="A25" s="60">
        <x:v>3</x:v>
      </x:c>
      <x:c r="B25" s="63" t="s">
        <x:v>38</x:v>
      </x:c>
      <x:c r="C25" s="63"/>
      <x:c r="D25" s="63" t="s">
        <x:v>39</x:v>
      </x:c>
      <x:c r="E25" s="63"/>
      <x:c r="F25" s="63" t="s">
        <x:v>40</x:v>
      </x:c>
      <x:c r="G25" s="63"/>
      <x:c r="H25" s="63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  <x:c r="AA25" s="59"/>
      <x:c r="AB25" s="59"/>
      <x:c r="AC25" s="59"/>
      <x:c r="AD25" s="59"/>
      <x:c r="AE25" s="59"/>
      <x:c r="AF25" s="59"/>
      <x:c r="AG25" s="59"/>
      <x:c r="AH25" s="59"/>
      <x:c r="AI25" s="59"/>
      <x:c r="AJ25" s="59"/>
      <x:c r="AK25" s="59"/>
      <x:c r="AL25" s="59"/>
      <x:c r="AM25" s="59"/>
      <x:c r="AN25" s="59"/>
      <x:c r="AO25" s="59"/>
      <x:c r="AP25" s="59"/>
      <x:c r="AQ25" s="59"/>
      <x:c r="AR25" s="59"/>
      <x:c r="AS25" s="59"/>
      <x:c r="AT25" s="59"/>
      <x:c r="AU25" s="59"/>
      <x:c r="AV25" s="59"/>
      <x:c r="AW25" s="59"/>
      <x:c r="AX25" s="59"/>
      <x:c r="AY25" s="59"/>
      <x:c r="AZ25" s="59"/>
      <x:c r="BA25" s="59"/>
      <x:c r="BB25" s="59"/>
      <x:c r="BC25" s="59"/>
      <x:c r="BD25" s="59"/>
      <x:c r="BE25" s="59"/>
      <x:c r="BF25" s="59"/>
      <x:c r="BG25" s="59"/>
      <x:c r="BH25" s="59"/>
      <x:c r="BI25" s="59"/>
      <x:c r="BJ25" s="59"/>
      <x:c r="BK25" s="59"/>
      <x:c r="BL25" s="59"/>
      <x:c r="BM25" s="59"/>
      <x:c r="BN25" s="59"/>
      <x:c r="BO25" s="59"/>
      <x:c r="BP25" s="59"/>
      <x:c r="BQ25" s="59"/>
      <x:c r="BR25" s="59"/>
      <x:c r="BS25" s="59"/>
      <x:c r="BT25" s="59"/>
      <x:c r="BU25" s="59"/>
      <x:c r="BV25" s="59"/>
      <x:c r="BW25" s="59"/>
      <x:c r="BX25" s="59"/>
      <x:c r="BY25" s="59"/>
      <x:c r="BZ25" s="59"/>
      <x:c r="CA25" s="59"/>
      <x:c r="CB25" s="59"/>
      <x:c r="CC25" s="59"/>
      <x:c r="CD25" s="59"/>
      <x:c r="CE25" s="59"/>
      <x:c r="CF25" s="59"/>
      <x:c r="CG25" s="59"/>
      <x:c r="CH25" s="59"/>
      <x:c r="CI25" s="59"/>
      <x:c r="CJ25" s="59"/>
      <x:c r="CK25" s="59"/>
      <x:c r="CL25" s="59"/>
      <x:c r="CM25" s="59"/>
      <x:c r="CN25" s="59"/>
      <x:c r="CO25" s="59"/>
      <x:c r="CP25" s="59"/>
      <x:c r="CQ25" s="59"/>
      <x:c r="CR25" s="59"/>
      <x:c r="CS25" s="59"/>
      <x:c r="CT25" s="59"/>
      <x:c r="CU25" s="59"/>
      <x:c r="CV25" s="59"/>
      <x:c r="CW25" s="59"/>
      <x:c r="CX25" s="59"/>
      <x:c r="CY25" s="59"/>
      <x:c r="CZ25" s="59"/>
      <x:c r="DA25" s="59"/>
      <x:c r="DB25" s="59"/>
      <x:c r="DC25" s="59"/>
      <x:c r="DD25" s="59"/>
      <x:c r="DE25" s="59"/>
      <x:c r="DF25" s="59"/>
      <x:c r="DG25" s="59"/>
      <x:c r="DH25" s="59"/>
      <x:c r="DI25" s="59"/>
      <x:c r="DJ25" s="59"/>
      <x:c r="DK25" s="59"/>
      <x:c r="DL25" s="59"/>
      <x:c r="DM25" s="59"/>
      <x:c r="DN25" s="59"/>
      <x:c r="DO25" s="59"/>
      <x:c r="DP25" s="59"/>
      <x:c r="DQ25" s="59"/>
      <x:c r="DR25" s="59"/>
      <x:c r="DS25" s="59"/>
      <x:c r="DT25" s="59"/>
      <x:c r="DU25" s="59"/>
      <x:c r="DV25" s="59"/>
      <x:c r="DW25" s="59"/>
      <x:c r="DX25" s="59"/>
      <x:c r="DY25" s="59"/>
      <x:c r="DZ25" s="59"/>
      <x:c r="EA25" s="59"/>
      <x:c r="EB25" s="59"/>
      <x:c r="EC25" s="59"/>
      <x:c r="ED25" s="59"/>
      <x:c r="EE25" s="59"/>
      <x:c r="EF25" s="59"/>
      <x:c r="EG25" s="59"/>
      <x:c r="EH25" s="59"/>
      <x:c r="EI25" s="59"/>
      <x:c r="EJ25" s="59"/>
      <x:c r="EK25" s="59"/>
      <x:c r="EL25" s="59"/>
      <x:c r="EM25" s="59"/>
      <x:c r="EN25" s="59"/>
      <x:c r="EO25" s="59"/>
      <x:c r="EP25" s="59"/>
      <x:c r="EQ25" s="59"/>
      <x:c r="ER25" s="59"/>
      <x:c r="ES25" s="59"/>
      <x:c r="ET25" s="59"/>
      <x:c r="EU25" s="59"/>
      <x:c r="EV25" s="59"/>
      <x:c r="EW25" s="59"/>
      <x:c r="EX25" s="59"/>
      <x:c r="EY25" s="59"/>
      <x:c r="EZ25" s="59"/>
      <x:c r="FA25" s="59"/>
      <x:c r="FB25" s="59"/>
      <x:c r="FC25" s="59"/>
      <x:c r="FD25" s="59"/>
      <x:c r="FE25" s="59"/>
      <x:c r="FF25" s="59"/>
      <x:c r="FG25" s="59"/>
      <x:c r="FH25" s="59"/>
      <x:c r="FI25" s="59"/>
      <x:c r="FJ25" s="59"/>
      <x:c r="FK25" s="59"/>
      <x:c r="FL25" s="59"/>
      <x:c r="FM25" s="59"/>
      <x:c r="FN25" s="59"/>
      <x:c r="FO25" s="59"/>
      <x:c r="FP25" s="59"/>
      <x:c r="FQ25" s="59"/>
      <x:c r="FR25" s="59"/>
      <x:c r="FS25" s="59"/>
      <x:c r="FT25" s="59"/>
      <x:c r="FU25" s="59"/>
      <x:c r="FV25" s="59"/>
      <x:c r="FW25" s="59"/>
      <x:c r="FX25" s="59"/>
      <x:c r="FY25" s="59"/>
      <x:c r="FZ25" s="59"/>
      <x:c r="GA25" s="59"/>
      <x:c r="GB25" s="59"/>
      <x:c r="GC25" s="59"/>
      <x:c r="GD25" s="59"/>
      <x:c r="GE25" s="59"/>
      <x:c r="GF25" s="59"/>
      <x:c r="GG25" s="59"/>
      <x:c r="GH25" s="59"/>
      <x:c r="GI25" s="59"/>
      <x:c r="GJ25" s="59"/>
      <x:c r="GK25" s="59"/>
      <x:c r="GL25" s="59"/>
      <x:c r="GM25" s="59"/>
      <x:c r="GN25" s="59"/>
      <x:c r="GO25" s="59"/>
      <x:c r="GP25" s="59"/>
      <x:c r="GQ25" s="59"/>
      <x:c r="GR25" s="59"/>
      <x:c r="GS25" s="59"/>
      <x:c r="GT25" s="59"/>
      <x:c r="GU25" s="59"/>
      <x:c r="GV25" s="59"/>
      <x:c r="GW25" s="59"/>
      <x:c r="GX25" s="59"/>
      <x:c r="GY25" s="59"/>
      <x:c r="GZ25" s="59"/>
      <x:c r="HA25" s="59"/>
      <x:c r="HB25" s="59"/>
      <x:c r="HC25" s="59"/>
      <x:c r="HD25" s="59"/>
      <x:c r="HE25" s="59"/>
      <x:c r="HF25" s="59"/>
      <x:c r="HG25" s="59"/>
      <x:c r="HH25" s="59"/>
      <x:c r="HI25" s="59"/>
      <x:c r="HJ25" s="59"/>
      <x:c r="HK25" s="59"/>
      <x:c r="HL25" s="59"/>
      <x:c r="HM25" s="59"/>
      <x:c r="HN25" s="59"/>
      <x:c r="HO25" s="59"/>
      <x:c r="HP25" s="59"/>
      <x:c r="HQ25" s="59"/>
      <x:c r="HR25" s="59"/>
      <x:c r="HS25" s="59"/>
      <x:c r="HT25" s="59"/>
      <x:c r="HU25" s="59"/>
      <x:c r="HV25" s="59"/>
      <x:c r="HW25" s="59"/>
      <x:c r="HX25" s="59"/>
      <x:c r="HY25" s="59"/>
      <x:c r="HZ25" s="59"/>
      <x:c r="IA25" s="59"/>
      <x:c r="IB25" s="59"/>
      <x:c r="IC25" s="59"/>
      <x:c r="ID25" s="59"/>
      <x:c r="IE25" s="59"/>
      <x:c r="IF25" s="59"/>
      <x:c r="IG25" s="59"/>
      <x:c r="IH25" s="59"/>
      <x:c r="II25" s="59"/>
      <x:c r="IJ25" s="59"/>
      <x:c r="IK25" s="59"/>
      <x:c r="IL25" s="59"/>
      <x:c r="IM25" s="59"/>
      <x:c r="IN25" s="59"/>
      <x:c r="IO25" s="59"/>
      <x:c r="IP25" s="59"/>
      <x:c r="IQ25" s="59"/>
      <x:c r="IR25" s="59"/>
      <x:c r="IS25" s="59"/>
      <x:c r="IT25" s="59"/>
      <x:c r="IU25" s="59"/>
      <x:c r="IV25" s="59"/>
      <x:c r="IW25" s="59"/>
      <x:c r="IX25" s="59"/>
      <x:c r="IY25" s="59"/>
      <x:c r="IZ25" s="59"/>
      <x:c r="JA25" s="59"/>
      <x:c r="JB25" s="59"/>
      <x:c r="JC25" s="59"/>
      <x:c r="JD25" s="59"/>
      <x:c r="JE25" s="59"/>
      <x:c r="JF25" s="59"/>
      <x:c r="JG25" s="59"/>
      <x:c r="JH25" s="59"/>
      <x:c r="JI25" s="59"/>
      <x:c r="JJ25" s="59"/>
      <x:c r="JK25" s="59"/>
      <x:c r="JL25" s="59"/>
      <x:c r="JM25" s="59"/>
      <x:c r="JN25" s="59"/>
      <x:c r="JO25" s="59"/>
      <x:c r="JP25" s="59"/>
      <x:c r="JQ25" s="59"/>
      <x:c r="JR25" s="59"/>
      <x:c r="JS25" s="59"/>
      <x:c r="JT25" s="59"/>
      <x:c r="JU25" s="59"/>
      <x:c r="JV25" s="59"/>
      <x:c r="JW25" s="59"/>
      <x:c r="JX25" s="59"/>
      <x:c r="JY25" s="59"/>
      <x:c r="JZ25" s="59"/>
      <x:c r="KA25" s="59"/>
      <x:c r="KB25" s="59"/>
      <x:c r="KC25" s="59"/>
      <x:c r="KD25" s="59"/>
      <x:c r="KE25" s="59"/>
      <x:c r="KF25" s="59"/>
      <x:c r="KG25" s="59"/>
      <x:c r="KH25" s="59"/>
      <x:c r="KI25" s="59"/>
      <x:c r="KJ25" s="59"/>
      <x:c r="KK25" s="59"/>
      <x:c r="KL25" s="59"/>
      <x:c r="KM25" s="59"/>
      <x:c r="KN25" s="59"/>
      <x:c r="KO25" s="59"/>
      <x:c r="KP25" s="59"/>
      <x:c r="KQ25" s="59"/>
      <x:c r="KR25" s="59"/>
      <x:c r="KS25" s="59"/>
      <x:c r="KT25" s="59"/>
      <x:c r="KU25" s="59"/>
      <x:c r="KV25" s="59"/>
      <x:c r="KW25" s="59"/>
      <x:c r="KX25" s="59"/>
      <x:c r="KY25" s="59"/>
      <x:c r="KZ25" s="59"/>
      <x:c r="LA25" s="59"/>
      <x:c r="LB25" s="59"/>
      <x:c r="LC25" s="59"/>
      <x:c r="LD25" s="59"/>
      <x:c r="LE25" s="59"/>
      <x:c r="LF25" s="59"/>
      <x:c r="LG25" s="59"/>
      <x:c r="LH25" s="59"/>
      <x:c r="LI25" s="59"/>
      <x:c r="LJ25" s="59"/>
      <x:c r="LK25" s="59"/>
      <x:c r="LL25" s="59"/>
      <x:c r="LM25" s="59"/>
      <x:c r="LN25" s="59"/>
      <x:c r="LO25" s="59"/>
      <x:c r="LP25" s="59"/>
      <x:c r="LQ25" s="59"/>
      <x:c r="LR25" s="59"/>
      <x:c r="LS25" s="59"/>
      <x:c r="LT25" s="59"/>
      <x:c r="LU25" s="59"/>
      <x:c r="LV25" s="59"/>
      <x:c r="LW25" s="59"/>
      <x:c r="LX25" s="59"/>
      <x:c r="LY25" s="59"/>
      <x:c r="LZ25" s="59"/>
      <x:c r="MA25" s="59"/>
      <x:c r="MB25" s="59"/>
      <x:c r="MC25" s="59"/>
      <x:c r="MD25" s="59"/>
      <x:c r="ME25" s="59"/>
      <x:c r="MF25" s="59"/>
      <x:c r="MG25" s="59"/>
      <x:c r="MH25" s="59"/>
      <x:c r="MI25" s="59"/>
      <x:c r="MJ25" s="59"/>
      <x:c r="MK25" s="59"/>
      <x:c r="ML25" s="59"/>
      <x:c r="MM25" s="59"/>
      <x:c r="MN25" s="59"/>
      <x:c r="MO25" s="59"/>
      <x:c r="MP25" s="59"/>
      <x:c r="MQ25" s="59"/>
      <x:c r="MR25" s="59"/>
      <x:c r="MS25" s="59"/>
      <x:c r="MT25" s="59"/>
      <x:c r="MU25" s="59"/>
      <x:c r="MV25" s="59"/>
      <x:c r="MW25" s="59"/>
      <x:c r="MX25" s="59"/>
      <x:c r="MY25" s="59"/>
      <x:c r="MZ25" s="59"/>
      <x:c r="NA25" s="59"/>
      <x:c r="NB25" s="59"/>
      <x:c r="NC25" s="59"/>
      <x:c r="ND25" s="59"/>
      <x:c r="NE25" s="59"/>
      <x:c r="NF25" s="59"/>
      <x:c r="NG25" s="59"/>
      <x:c r="NH25" s="59"/>
      <x:c r="NI25" s="59"/>
      <x:c r="NJ25" s="59"/>
      <x:c r="NK25" s="59"/>
      <x:c r="NL25" s="59"/>
      <x:c r="NM25" s="59"/>
      <x:c r="NN25" s="59"/>
      <x:c r="NO25" s="59"/>
      <x:c r="NP25" s="59"/>
      <x:c r="NQ25" s="59"/>
      <x:c r="NR25" s="59"/>
      <x:c r="NS25" s="59"/>
      <x:c r="NT25" s="59"/>
      <x:c r="NU25" s="59"/>
      <x:c r="NV25" s="59"/>
      <x:c r="NW25" s="59"/>
      <x:c r="NX25" s="59"/>
      <x:c r="NY25" s="59"/>
      <x:c r="NZ25" s="59"/>
      <x:c r="OA25" s="59"/>
      <x:c r="OB25" s="59"/>
      <x:c r="OC25" s="59"/>
      <x:c r="OD25" s="59"/>
      <x:c r="OE25" s="59"/>
      <x:c r="OF25" s="59"/>
      <x:c r="OG25" s="59"/>
      <x:c r="OH25" s="59"/>
      <x:c r="OI25" s="59"/>
      <x:c r="OJ25" s="59"/>
      <x:c r="OK25" s="59"/>
      <x:c r="OL25" s="59"/>
      <x:c r="OM25" s="59"/>
      <x:c r="ON25" s="59"/>
      <x:c r="OO25" s="59"/>
      <x:c r="OP25" s="59"/>
      <x:c r="OQ25" s="59"/>
      <x:c r="OR25" s="59"/>
      <x:c r="OS25" s="59"/>
      <x:c r="OT25" s="59"/>
      <x:c r="OU25" s="59"/>
      <x:c r="OV25" s="59"/>
      <x:c r="OW25" s="59"/>
      <x:c r="OX25" s="59"/>
      <x:c r="OY25" s="59"/>
      <x:c r="OZ25" s="59"/>
      <x:c r="PA25" s="59"/>
      <x:c r="PB25" s="59"/>
      <x:c r="PC25" s="59"/>
      <x:c r="PD25" s="59"/>
      <x:c r="PE25" s="59"/>
      <x:c r="PF25" s="59"/>
      <x:c r="PG25" s="59"/>
      <x:c r="PH25" s="59"/>
      <x:c r="PI25" s="59"/>
      <x:c r="PJ25" s="59"/>
      <x:c r="PK25" s="59"/>
      <x:c r="PL25" s="59"/>
      <x:c r="PM25" s="59"/>
      <x:c r="PN25" s="59"/>
      <x:c r="PO25" s="59"/>
      <x:c r="PP25" s="59"/>
      <x:c r="PQ25" s="59"/>
      <x:c r="PR25" s="59"/>
      <x:c r="PS25" s="59"/>
      <x:c r="PT25" s="59"/>
      <x:c r="PU25" s="59"/>
      <x:c r="PV25" s="59"/>
      <x:c r="PW25" s="59"/>
      <x:c r="PX25" s="59"/>
      <x:c r="PY25" s="59"/>
      <x:c r="PZ25" s="59"/>
      <x:c r="QA25" s="59"/>
      <x:c r="QB25" s="59"/>
      <x:c r="QC25" s="59"/>
      <x:c r="QD25" s="59"/>
      <x:c r="QE25" s="59"/>
      <x:c r="QF25" s="59"/>
      <x:c r="QG25" s="59"/>
      <x:c r="QH25" s="59"/>
      <x:c r="QI25" s="59"/>
      <x:c r="QJ25" s="59"/>
      <x:c r="QK25" s="59"/>
      <x:c r="QL25" s="59"/>
      <x:c r="QM25" s="59"/>
      <x:c r="QN25" s="59"/>
      <x:c r="QO25" s="59"/>
      <x:c r="QP25" s="59"/>
      <x:c r="QQ25" s="59"/>
      <x:c r="QR25" s="59"/>
      <x:c r="QS25" s="59"/>
      <x:c r="QT25" s="59"/>
      <x:c r="QU25" s="59"/>
      <x:c r="QV25" s="59"/>
      <x:c r="QW25" s="59"/>
      <x:c r="QX25" s="59"/>
      <x:c r="QY25" s="59"/>
      <x:c r="QZ25" s="59"/>
      <x:c r="RA25" s="59"/>
      <x:c r="RB25" s="59"/>
      <x:c r="RC25" s="59"/>
      <x:c r="RD25" s="59"/>
      <x:c r="RE25" s="59"/>
      <x:c r="RF25" s="59"/>
      <x:c r="RG25" s="59"/>
      <x:c r="RH25" s="59"/>
      <x:c r="RI25" s="59"/>
      <x:c r="RJ25" s="59"/>
      <x:c r="RK25" s="59"/>
      <x:c r="RL25" s="59"/>
      <x:c r="RM25" s="59"/>
      <x:c r="RN25" s="59"/>
      <x:c r="RO25" s="59"/>
      <x:c r="RP25" s="59"/>
      <x:c r="RQ25" s="59"/>
      <x:c r="RR25" s="59"/>
      <x:c r="RS25" s="59"/>
      <x:c r="RT25" s="59"/>
      <x:c r="RU25" s="59"/>
      <x:c r="RV25" s="59"/>
      <x:c r="RW25" s="59"/>
      <x:c r="RX25" s="59"/>
      <x:c r="RY25" s="59"/>
      <x:c r="RZ25" s="59"/>
      <x:c r="SA25" s="59"/>
      <x:c r="SB25" s="59"/>
      <x:c r="SC25" s="59"/>
      <x:c r="SD25" s="59"/>
      <x:c r="SE25" s="59"/>
      <x:c r="SF25" s="59"/>
    </x:row>
    <x:row r="26" ht="27" customHeight="1">
      <x:c r="A26" s="60">
        <x:v>4</x:v>
      </x:c>
      <x:c r="B26" s="63" t="s">
        <x:v>41</x:v>
      </x:c>
      <x:c r="C26" s="63"/>
      <x:c r="D26" s="63" t="s">
        <x:v>42</x:v>
      </x:c>
      <x:c r="E26" s="63"/>
      <x:c r="F26" s="63" t="s">
        <x:v>43</x:v>
      </x:c>
      <x:c r="G26" s="63"/>
      <x:c r="H26" s="63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  <x:c r="AA26" s="59"/>
      <x:c r="AB26" s="59"/>
      <x:c r="AC26" s="59"/>
      <x:c r="AD26" s="59"/>
      <x:c r="AE26" s="59"/>
      <x:c r="AF26" s="59"/>
      <x:c r="AG26" s="59"/>
      <x:c r="AH26" s="59"/>
      <x:c r="AI26" s="59"/>
      <x:c r="AJ26" s="59"/>
      <x:c r="AK26" s="59"/>
      <x:c r="AL26" s="59"/>
      <x:c r="AM26" s="59"/>
      <x:c r="AN26" s="59"/>
      <x:c r="AO26" s="59"/>
      <x:c r="AP26" s="59"/>
      <x:c r="AQ26" s="59"/>
      <x:c r="AR26" s="59"/>
      <x:c r="AS26" s="59"/>
      <x:c r="AT26" s="59"/>
      <x:c r="AU26" s="59"/>
      <x:c r="AV26" s="59"/>
      <x:c r="AW26" s="59"/>
      <x:c r="AX26" s="59"/>
      <x:c r="AY26" s="59"/>
      <x:c r="AZ26" s="59"/>
      <x:c r="BA26" s="59"/>
      <x:c r="BB26" s="59"/>
      <x:c r="BC26" s="59"/>
      <x:c r="BD26" s="59"/>
      <x:c r="BE26" s="59"/>
      <x:c r="BF26" s="59"/>
      <x:c r="BG26" s="59"/>
      <x:c r="BH26" s="59"/>
      <x:c r="BI26" s="59"/>
      <x:c r="BJ26" s="59"/>
      <x:c r="BK26" s="59"/>
      <x:c r="BL26" s="59"/>
      <x:c r="BM26" s="59"/>
      <x:c r="BN26" s="59"/>
      <x:c r="BO26" s="59"/>
      <x:c r="BP26" s="59"/>
      <x:c r="BQ26" s="59"/>
      <x:c r="BR26" s="59"/>
      <x:c r="BS26" s="59"/>
      <x:c r="BT26" s="59"/>
      <x:c r="BU26" s="59"/>
      <x:c r="BV26" s="59"/>
      <x:c r="BW26" s="59"/>
      <x:c r="BX26" s="59"/>
      <x:c r="BY26" s="59"/>
      <x:c r="BZ26" s="59"/>
      <x:c r="CA26" s="59"/>
      <x:c r="CB26" s="59"/>
      <x:c r="CC26" s="59"/>
      <x:c r="CD26" s="59"/>
      <x:c r="CE26" s="59"/>
      <x:c r="CF26" s="59"/>
      <x:c r="CG26" s="59"/>
      <x:c r="CH26" s="59"/>
      <x:c r="CI26" s="59"/>
      <x:c r="CJ26" s="59"/>
      <x:c r="CK26" s="59"/>
      <x:c r="CL26" s="59"/>
      <x:c r="CM26" s="59"/>
      <x:c r="CN26" s="59"/>
      <x:c r="CO26" s="59"/>
      <x:c r="CP26" s="59"/>
      <x:c r="CQ26" s="59"/>
      <x:c r="CR26" s="59"/>
      <x:c r="CS26" s="59"/>
      <x:c r="CT26" s="59"/>
      <x:c r="CU26" s="59"/>
      <x:c r="CV26" s="59"/>
      <x:c r="CW26" s="59"/>
      <x:c r="CX26" s="59"/>
      <x:c r="CY26" s="59"/>
      <x:c r="CZ26" s="59"/>
      <x:c r="DA26" s="59"/>
      <x:c r="DB26" s="59"/>
      <x:c r="DC26" s="59"/>
      <x:c r="DD26" s="59"/>
      <x:c r="DE26" s="59"/>
      <x:c r="DF26" s="59"/>
      <x:c r="DG26" s="59"/>
      <x:c r="DH26" s="59"/>
      <x:c r="DI26" s="59"/>
      <x:c r="DJ26" s="59"/>
      <x:c r="DK26" s="59"/>
      <x:c r="DL26" s="59"/>
      <x:c r="DM26" s="59"/>
      <x:c r="DN26" s="59"/>
      <x:c r="DO26" s="59"/>
      <x:c r="DP26" s="59"/>
      <x:c r="DQ26" s="59"/>
      <x:c r="DR26" s="59"/>
      <x:c r="DS26" s="59"/>
      <x:c r="DT26" s="59"/>
      <x:c r="DU26" s="59"/>
      <x:c r="DV26" s="59"/>
      <x:c r="DW26" s="59"/>
      <x:c r="DX26" s="59"/>
      <x:c r="DY26" s="59"/>
      <x:c r="DZ26" s="59"/>
      <x:c r="EA26" s="59"/>
      <x:c r="EB26" s="59"/>
      <x:c r="EC26" s="59"/>
      <x:c r="ED26" s="59"/>
      <x:c r="EE26" s="59"/>
      <x:c r="EF26" s="59"/>
      <x:c r="EG26" s="59"/>
      <x:c r="EH26" s="59"/>
      <x:c r="EI26" s="59"/>
      <x:c r="EJ26" s="59"/>
      <x:c r="EK26" s="59"/>
      <x:c r="EL26" s="59"/>
      <x:c r="EM26" s="59"/>
      <x:c r="EN26" s="59"/>
      <x:c r="EO26" s="59"/>
      <x:c r="EP26" s="59"/>
      <x:c r="EQ26" s="59"/>
      <x:c r="ER26" s="59"/>
      <x:c r="ES26" s="59"/>
      <x:c r="ET26" s="59"/>
      <x:c r="EU26" s="59"/>
      <x:c r="EV26" s="59"/>
      <x:c r="EW26" s="59"/>
      <x:c r="EX26" s="59"/>
      <x:c r="EY26" s="59"/>
      <x:c r="EZ26" s="59"/>
      <x:c r="FA26" s="59"/>
      <x:c r="FB26" s="59"/>
      <x:c r="FC26" s="59"/>
      <x:c r="FD26" s="59"/>
      <x:c r="FE26" s="59"/>
      <x:c r="FF26" s="59"/>
      <x:c r="FG26" s="59"/>
      <x:c r="FH26" s="59"/>
      <x:c r="FI26" s="59"/>
      <x:c r="FJ26" s="59"/>
      <x:c r="FK26" s="59"/>
      <x:c r="FL26" s="59"/>
      <x:c r="FM26" s="59"/>
      <x:c r="FN26" s="59"/>
      <x:c r="FO26" s="59"/>
      <x:c r="FP26" s="59"/>
      <x:c r="FQ26" s="59"/>
      <x:c r="FR26" s="59"/>
      <x:c r="FS26" s="59"/>
      <x:c r="FT26" s="59"/>
      <x:c r="FU26" s="59"/>
      <x:c r="FV26" s="59"/>
      <x:c r="FW26" s="59"/>
      <x:c r="FX26" s="59"/>
      <x:c r="FY26" s="59"/>
      <x:c r="FZ26" s="59"/>
      <x:c r="GA26" s="59"/>
      <x:c r="GB26" s="59"/>
      <x:c r="GC26" s="59"/>
      <x:c r="GD26" s="59"/>
      <x:c r="GE26" s="59"/>
      <x:c r="GF26" s="59"/>
      <x:c r="GG26" s="59"/>
      <x:c r="GH26" s="59"/>
      <x:c r="GI26" s="59"/>
      <x:c r="GJ26" s="59"/>
      <x:c r="GK26" s="59"/>
      <x:c r="GL26" s="59"/>
      <x:c r="GM26" s="59"/>
      <x:c r="GN26" s="59"/>
      <x:c r="GO26" s="59"/>
      <x:c r="GP26" s="59"/>
      <x:c r="GQ26" s="59"/>
      <x:c r="GR26" s="59"/>
      <x:c r="GS26" s="59"/>
      <x:c r="GT26" s="59"/>
      <x:c r="GU26" s="59"/>
      <x:c r="GV26" s="59"/>
      <x:c r="GW26" s="59"/>
      <x:c r="GX26" s="59"/>
      <x:c r="GY26" s="59"/>
      <x:c r="GZ26" s="59"/>
      <x:c r="HA26" s="59"/>
      <x:c r="HB26" s="59"/>
      <x:c r="HC26" s="59"/>
      <x:c r="HD26" s="59"/>
      <x:c r="HE26" s="59"/>
      <x:c r="HF26" s="59"/>
      <x:c r="HG26" s="59"/>
      <x:c r="HH26" s="59"/>
      <x:c r="HI26" s="59"/>
      <x:c r="HJ26" s="59"/>
      <x:c r="HK26" s="59"/>
      <x:c r="HL26" s="59"/>
      <x:c r="HM26" s="59"/>
      <x:c r="HN26" s="59"/>
      <x:c r="HO26" s="59"/>
      <x:c r="HP26" s="59"/>
      <x:c r="HQ26" s="59"/>
      <x:c r="HR26" s="59"/>
      <x:c r="HS26" s="59"/>
      <x:c r="HT26" s="59"/>
      <x:c r="HU26" s="59"/>
      <x:c r="HV26" s="59"/>
      <x:c r="HW26" s="59"/>
      <x:c r="HX26" s="59"/>
      <x:c r="HY26" s="59"/>
      <x:c r="HZ26" s="59"/>
      <x:c r="IA26" s="59"/>
      <x:c r="IB26" s="59"/>
      <x:c r="IC26" s="59"/>
      <x:c r="ID26" s="59"/>
      <x:c r="IE26" s="59"/>
      <x:c r="IF26" s="59"/>
      <x:c r="IG26" s="59"/>
      <x:c r="IH26" s="59"/>
      <x:c r="II26" s="59"/>
      <x:c r="IJ26" s="59"/>
      <x:c r="IK26" s="59"/>
      <x:c r="IL26" s="59"/>
      <x:c r="IM26" s="59"/>
      <x:c r="IN26" s="59"/>
      <x:c r="IO26" s="59"/>
      <x:c r="IP26" s="59"/>
      <x:c r="IQ26" s="59"/>
      <x:c r="IR26" s="59"/>
      <x:c r="IS26" s="59"/>
      <x:c r="IT26" s="59"/>
      <x:c r="IU26" s="59"/>
      <x:c r="IV26" s="59"/>
      <x:c r="IW26" s="59"/>
      <x:c r="IX26" s="59"/>
      <x:c r="IY26" s="59"/>
      <x:c r="IZ26" s="59"/>
      <x:c r="JA26" s="59"/>
      <x:c r="JB26" s="59"/>
      <x:c r="JC26" s="59"/>
      <x:c r="JD26" s="59"/>
      <x:c r="JE26" s="59"/>
      <x:c r="JF26" s="59"/>
      <x:c r="JG26" s="59"/>
      <x:c r="JH26" s="59"/>
      <x:c r="JI26" s="59"/>
      <x:c r="JJ26" s="59"/>
      <x:c r="JK26" s="59"/>
      <x:c r="JL26" s="59"/>
      <x:c r="JM26" s="59"/>
      <x:c r="JN26" s="59"/>
      <x:c r="JO26" s="59"/>
      <x:c r="JP26" s="59"/>
      <x:c r="JQ26" s="59"/>
      <x:c r="JR26" s="59"/>
      <x:c r="JS26" s="59"/>
      <x:c r="JT26" s="59"/>
      <x:c r="JU26" s="59"/>
      <x:c r="JV26" s="59"/>
      <x:c r="JW26" s="59"/>
      <x:c r="JX26" s="59"/>
      <x:c r="JY26" s="59"/>
      <x:c r="JZ26" s="59"/>
      <x:c r="KA26" s="59"/>
      <x:c r="KB26" s="59"/>
      <x:c r="KC26" s="59"/>
      <x:c r="KD26" s="59"/>
      <x:c r="KE26" s="59"/>
      <x:c r="KF26" s="59"/>
      <x:c r="KG26" s="59"/>
      <x:c r="KH26" s="59"/>
      <x:c r="KI26" s="59"/>
      <x:c r="KJ26" s="59"/>
      <x:c r="KK26" s="59"/>
      <x:c r="KL26" s="59"/>
      <x:c r="KM26" s="59"/>
      <x:c r="KN26" s="59"/>
      <x:c r="KO26" s="59"/>
      <x:c r="KP26" s="59"/>
      <x:c r="KQ26" s="59"/>
      <x:c r="KR26" s="59"/>
      <x:c r="KS26" s="59"/>
      <x:c r="KT26" s="59"/>
      <x:c r="KU26" s="59"/>
      <x:c r="KV26" s="59"/>
      <x:c r="KW26" s="59"/>
      <x:c r="KX26" s="59"/>
      <x:c r="KY26" s="59"/>
      <x:c r="KZ26" s="59"/>
      <x:c r="LA26" s="59"/>
      <x:c r="LB26" s="59"/>
      <x:c r="LC26" s="59"/>
      <x:c r="LD26" s="59"/>
      <x:c r="LE26" s="59"/>
      <x:c r="LF26" s="59"/>
      <x:c r="LG26" s="59"/>
      <x:c r="LH26" s="59"/>
      <x:c r="LI26" s="59"/>
      <x:c r="LJ26" s="59"/>
      <x:c r="LK26" s="59"/>
      <x:c r="LL26" s="59"/>
      <x:c r="LM26" s="59"/>
      <x:c r="LN26" s="59"/>
      <x:c r="LO26" s="59"/>
      <x:c r="LP26" s="59"/>
      <x:c r="LQ26" s="59"/>
      <x:c r="LR26" s="59"/>
      <x:c r="LS26" s="59"/>
      <x:c r="LT26" s="59"/>
      <x:c r="LU26" s="59"/>
      <x:c r="LV26" s="59"/>
      <x:c r="LW26" s="59"/>
      <x:c r="LX26" s="59"/>
      <x:c r="LY26" s="59"/>
      <x:c r="LZ26" s="59"/>
      <x:c r="MA26" s="59"/>
      <x:c r="MB26" s="59"/>
      <x:c r="MC26" s="59"/>
      <x:c r="MD26" s="59"/>
      <x:c r="ME26" s="59"/>
      <x:c r="MF26" s="59"/>
      <x:c r="MG26" s="59"/>
      <x:c r="MH26" s="59"/>
      <x:c r="MI26" s="59"/>
      <x:c r="MJ26" s="59"/>
      <x:c r="MK26" s="59"/>
      <x:c r="ML26" s="59"/>
      <x:c r="MM26" s="59"/>
      <x:c r="MN26" s="59"/>
      <x:c r="MO26" s="59"/>
      <x:c r="MP26" s="59"/>
      <x:c r="MQ26" s="59"/>
      <x:c r="MR26" s="59"/>
      <x:c r="MS26" s="59"/>
      <x:c r="MT26" s="59"/>
      <x:c r="MU26" s="59"/>
      <x:c r="MV26" s="59"/>
      <x:c r="MW26" s="59"/>
      <x:c r="MX26" s="59"/>
      <x:c r="MY26" s="59"/>
      <x:c r="MZ26" s="59"/>
      <x:c r="NA26" s="59"/>
      <x:c r="NB26" s="59"/>
      <x:c r="NC26" s="59"/>
      <x:c r="ND26" s="59"/>
      <x:c r="NE26" s="59"/>
      <x:c r="NF26" s="59"/>
      <x:c r="NG26" s="59"/>
      <x:c r="NH26" s="59"/>
      <x:c r="NI26" s="59"/>
      <x:c r="NJ26" s="59"/>
      <x:c r="NK26" s="59"/>
      <x:c r="NL26" s="59"/>
      <x:c r="NM26" s="59"/>
      <x:c r="NN26" s="59"/>
      <x:c r="NO26" s="59"/>
      <x:c r="NP26" s="59"/>
      <x:c r="NQ26" s="59"/>
      <x:c r="NR26" s="59"/>
      <x:c r="NS26" s="59"/>
      <x:c r="NT26" s="59"/>
      <x:c r="NU26" s="59"/>
      <x:c r="NV26" s="59"/>
      <x:c r="NW26" s="59"/>
      <x:c r="NX26" s="59"/>
      <x:c r="NY26" s="59"/>
      <x:c r="NZ26" s="59"/>
      <x:c r="OA26" s="59"/>
      <x:c r="OB26" s="59"/>
      <x:c r="OC26" s="59"/>
      <x:c r="OD26" s="59"/>
      <x:c r="OE26" s="59"/>
      <x:c r="OF26" s="59"/>
      <x:c r="OG26" s="59"/>
      <x:c r="OH26" s="59"/>
      <x:c r="OI26" s="59"/>
      <x:c r="OJ26" s="59"/>
      <x:c r="OK26" s="59"/>
      <x:c r="OL26" s="59"/>
      <x:c r="OM26" s="59"/>
      <x:c r="ON26" s="59"/>
      <x:c r="OO26" s="59"/>
      <x:c r="OP26" s="59"/>
      <x:c r="OQ26" s="59"/>
      <x:c r="OR26" s="59"/>
      <x:c r="OS26" s="59"/>
      <x:c r="OT26" s="59"/>
      <x:c r="OU26" s="59"/>
      <x:c r="OV26" s="59"/>
      <x:c r="OW26" s="59"/>
      <x:c r="OX26" s="59"/>
      <x:c r="OY26" s="59"/>
      <x:c r="OZ26" s="59"/>
      <x:c r="PA26" s="59"/>
      <x:c r="PB26" s="59"/>
      <x:c r="PC26" s="59"/>
      <x:c r="PD26" s="59"/>
      <x:c r="PE26" s="59"/>
      <x:c r="PF26" s="59"/>
      <x:c r="PG26" s="59"/>
      <x:c r="PH26" s="59"/>
      <x:c r="PI26" s="59"/>
      <x:c r="PJ26" s="59"/>
      <x:c r="PK26" s="59"/>
      <x:c r="PL26" s="59"/>
      <x:c r="PM26" s="59"/>
      <x:c r="PN26" s="59"/>
      <x:c r="PO26" s="59"/>
      <x:c r="PP26" s="59"/>
      <x:c r="PQ26" s="59"/>
      <x:c r="PR26" s="59"/>
      <x:c r="PS26" s="59"/>
      <x:c r="PT26" s="59"/>
      <x:c r="PU26" s="59"/>
      <x:c r="PV26" s="59"/>
      <x:c r="PW26" s="59"/>
      <x:c r="PX26" s="59"/>
      <x:c r="PY26" s="59"/>
      <x:c r="PZ26" s="59"/>
      <x:c r="QA26" s="59"/>
      <x:c r="QB26" s="59"/>
      <x:c r="QC26" s="59"/>
      <x:c r="QD26" s="59"/>
      <x:c r="QE26" s="59"/>
      <x:c r="QF26" s="59"/>
      <x:c r="QG26" s="59"/>
      <x:c r="QH26" s="59"/>
      <x:c r="QI26" s="59"/>
      <x:c r="QJ26" s="59"/>
      <x:c r="QK26" s="59"/>
      <x:c r="QL26" s="59"/>
      <x:c r="QM26" s="59"/>
      <x:c r="QN26" s="59"/>
      <x:c r="QO26" s="59"/>
      <x:c r="QP26" s="59"/>
      <x:c r="QQ26" s="59"/>
      <x:c r="QR26" s="59"/>
      <x:c r="QS26" s="59"/>
      <x:c r="QT26" s="59"/>
      <x:c r="QU26" s="59"/>
      <x:c r="QV26" s="59"/>
      <x:c r="QW26" s="59"/>
      <x:c r="QX26" s="59"/>
      <x:c r="QY26" s="59"/>
      <x:c r="QZ26" s="59"/>
      <x:c r="RA26" s="59"/>
      <x:c r="RB26" s="59"/>
      <x:c r="RC26" s="59"/>
      <x:c r="RD26" s="59"/>
      <x:c r="RE26" s="59"/>
      <x:c r="RF26" s="59"/>
      <x:c r="RG26" s="59"/>
      <x:c r="RH26" s="59"/>
      <x:c r="RI26" s="59"/>
      <x:c r="RJ26" s="59"/>
      <x:c r="RK26" s="59"/>
      <x:c r="RL26" s="59"/>
      <x:c r="RM26" s="59"/>
      <x:c r="RN26" s="59"/>
      <x:c r="RO26" s="59"/>
      <x:c r="RP26" s="59"/>
      <x:c r="RQ26" s="59"/>
      <x:c r="RR26" s="59"/>
      <x:c r="RS26" s="59"/>
      <x:c r="RT26" s="59"/>
      <x:c r="RU26" s="59"/>
      <x:c r="RV26" s="59"/>
      <x:c r="RW26" s="59"/>
      <x:c r="RX26" s="59"/>
      <x:c r="RY26" s="59"/>
      <x:c r="RZ26" s="59"/>
      <x:c r="SA26" s="59"/>
      <x:c r="SB26" s="59"/>
      <x:c r="SC26" s="59"/>
      <x:c r="SD26" s="59"/>
      <x:c r="SE26" s="59"/>
      <x:c r="SF26" s="59"/>
    </x:row>
    <x:row r="27" ht="27" customHeight="1">
      <x:c r="A27" s="60">
        <x:v>5</x:v>
      </x:c>
      <x:c r="B27" s="63" t="s">
        <x:v>44</x:v>
      </x:c>
      <x:c r="C27" s="63"/>
      <x:c r="D27" s="63" t="s">
        <x:v>45</x:v>
      </x:c>
      <x:c r="E27" s="63"/>
      <x:c r="F27" s="63" t="str">
        <x:v>The Portfolio is the final view. Verify the name, role, goals, KPIs, notes, 12-Month Production, and trend.</x:v>
      </x:c>
      <x:c r="G27" s="63"/>
      <x:c r="H27" s="63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  <x:c r="AA27" s="59"/>
      <x:c r="AB27" s="59"/>
      <x:c r="AC27" s="59"/>
      <x:c r="AD27" s="59"/>
      <x:c r="AE27" s="59"/>
      <x:c r="AF27" s="59"/>
      <x:c r="AG27" s="59"/>
      <x:c r="AH27" s="59"/>
      <x:c r="AI27" s="59"/>
      <x:c r="AJ27" s="59"/>
      <x:c r="AK27" s="59"/>
      <x:c r="AL27" s="59"/>
      <x:c r="AM27" s="59"/>
      <x:c r="AN27" s="59"/>
      <x:c r="AO27" s="59"/>
      <x:c r="AP27" s="59"/>
      <x:c r="AQ27" s="59"/>
      <x:c r="AR27" s="59"/>
      <x:c r="AS27" s="59"/>
      <x:c r="AT27" s="59"/>
      <x:c r="AU27" s="59"/>
      <x:c r="AV27" s="59"/>
      <x:c r="AW27" s="59"/>
      <x:c r="AX27" s="59"/>
      <x:c r="AY27" s="59"/>
      <x:c r="AZ27" s="59"/>
      <x:c r="BA27" s="59"/>
      <x:c r="BB27" s="59"/>
      <x:c r="BC27" s="59"/>
      <x:c r="BD27" s="59"/>
      <x:c r="BE27" s="59"/>
      <x:c r="BF27" s="59"/>
      <x:c r="BG27" s="59"/>
      <x:c r="BH27" s="59"/>
      <x:c r="BI27" s="59"/>
      <x:c r="BJ27" s="59"/>
      <x:c r="BK27" s="59"/>
      <x:c r="BL27" s="59"/>
      <x:c r="BM27" s="59"/>
      <x:c r="BN27" s="59"/>
      <x:c r="BO27" s="59"/>
      <x:c r="BP27" s="59"/>
      <x:c r="BQ27" s="59"/>
      <x:c r="BR27" s="59"/>
      <x:c r="BS27" s="59"/>
      <x:c r="BT27" s="59"/>
      <x:c r="BU27" s="59"/>
      <x:c r="BV27" s="59"/>
      <x:c r="BW27" s="59"/>
      <x:c r="BX27" s="59"/>
      <x:c r="BY27" s="59"/>
      <x:c r="BZ27" s="59"/>
      <x:c r="CA27" s="59"/>
      <x:c r="CB27" s="59"/>
      <x:c r="CC27" s="59"/>
      <x:c r="CD27" s="59"/>
      <x:c r="CE27" s="59"/>
      <x:c r="CF27" s="59"/>
      <x:c r="CG27" s="59"/>
      <x:c r="CH27" s="59"/>
      <x:c r="CI27" s="59"/>
      <x:c r="CJ27" s="59"/>
      <x:c r="CK27" s="59"/>
      <x:c r="CL27" s="59"/>
      <x:c r="CM27" s="59"/>
      <x:c r="CN27" s="59"/>
      <x:c r="CO27" s="59"/>
      <x:c r="CP27" s="59"/>
      <x:c r="CQ27" s="59"/>
      <x:c r="CR27" s="59"/>
      <x:c r="CS27" s="59"/>
      <x:c r="CT27" s="59"/>
      <x:c r="CU27" s="59"/>
      <x:c r="CV27" s="59"/>
      <x:c r="CW27" s="59"/>
      <x:c r="CX27" s="59"/>
      <x:c r="CY27" s="59"/>
      <x:c r="CZ27" s="59"/>
      <x:c r="DA27" s="59"/>
      <x:c r="DB27" s="59"/>
      <x:c r="DC27" s="59"/>
      <x:c r="DD27" s="59"/>
      <x:c r="DE27" s="59"/>
      <x:c r="DF27" s="59"/>
      <x:c r="DG27" s="59"/>
      <x:c r="DH27" s="59"/>
      <x:c r="DI27" s="59"/>
      <x:c r="DJ27" s="59"/>
      <x:c r="DK27" s="59"/>
      <x:c r="DL27" s="59"/>
      <x:c r="DM27" s="59"/>
      <x:c r="DN27" s="59"/>
      <x:c r="DO27" s="59"/>
      <x:c r="DP27" s="59"/>
      <x:c r="DQ27" s="59"/>
      <x:c r="DR27" s="59"/>
      <x:c r="DS27" s="59"/>
      <x:c r="DT27" s="59"/>
      <x:c r="DU27" s="59"/>
      <x:c r="DV27" s="59"/>
      <x:c r="DW27" s="59"/>
      <x:c r="DX27" s="59"/>
      <x:c r="DY27" s="59"/>
      <x:c r="DZ27" s="59"/>
      <x:c r="EA27" s="59"/>
      <x:c r="EB27" s="59"/>
      <x:c r="EC27" s="59"/>
      <x:c r="ED27" s="59"/>
      <x:c r="EE27" s="59"/>
      <x:c r="EF27" s="59"/>
      <x:c r="EG27" s="59"/>
      <x:c r="EH27" s="59"/>
      <x:c r="EI27" s="59"/>
      <x:c r="EJ27" s="59"/>
      <x:c r="EK27" s="59"/>
      <x:c r="EL27" s="59"/>
      <x:c r="EM27" s="59"/>
      <x:c r="EN27" s="59"/>
      <x:c r="EO27" s="59"/>
      <x:c r="EP27" s="59"/>
      <x:c r="EQ27" s="59"/>
      <x:c r="ER27" s="59"/>
      <x:c r="ES27" s="59"/>
      <x:c r="ET27" s="59"/>
      <x:c r="EU27" s="59"/>
      <x:c r="EV27" s="59"/>
      <x:c r="EW27" s="59"/>
      <x:c r="EX27" s="59"/>
      <x:c r="EY27" s="59"/>
      <x:c r="EZ27" s="59"/>
      <x:c r="FA27" s="59"/>
      <x:c r="FB27" s="59"/>
      <x:c r="FC27" s="59"/>
      <x:c r="FD27" s="59"/>
      <x:c r="FE27" s="59"/>
      <x:c r="FF27" s="59"/>
      <x:c r="FG27" s="59"/>
      <x:c r="FH27" s="59"/>
      <x:c r="FI27" s="59"/>
      <x:c r="FJ27" s="59"/>
      <x:c r="FK27" s="59"/>
      <x:c r="FL27" s="59"/>
      <x:c r="FM27" s="59"/>
      <x:c r="FN27" s="59"/>
      <x:c r="FO27" s="59"/>
      <x:c r="FP27" s="59"/>
      <x:c r="FQ27" s="59"/>
      <x:c r="FR27" s="59"/>
      <x:c r="FS27" s="59"/>
      <x:c r="FT27" s="59"/>
      <x:c r="FU27" s="59"/>
      <x:c r="FV27" s="59"/>
      <x:c r="FW27" s="59"/>
      <x:c r="FX27" s="59"/>
      <x:c r="FY27" s="59"/>
      <x:c r="FZ27" s="59"/>
      <x:c r="GA27" s="59"/>
      <x:c r="GB27" s="59"/>
      <x:c r="GC27" s="59"/>
      <x:c r="GD27" s="59"/>
      <x:c r="GE27" s="59"/>
      <x:c r="GF27" s="59"/>
      <x:c r="GG27" s="59"/>
      <x:c r="GH27" s="59"/>
      <x:c r="GI27" s="59"/>
      <x:c r="GJ27" s="59"/>
      <x:c r="GK27" s="59"/>
      <x:c r="GL27" s="59"/>
      <x:c r="GM27" s="59"/>
      <x:c r="GN27" s="59"/>
      <x:c r="GO27" s="59"/>
      <x:c r="GP27" s="59"/>
      <x:c r="GQ27" s="59"/>
      <x:c r="GR27" s="59"/>
      <x:c r="GS27" s="59"/>
      <x:c r="GT27" s="59"/>
      <x:c r="GU27" s="59"/>
      <x:c r="GV27" s="59"/>
      <x:c r="GW27" s="59"/>
      <x:c r="GX27" s="59"/>
      <x:c r="GY27" s="59"/>
      <x:c r="GZ27" s="59"/>
      <x:c r="HA27" s="59"/>
      <x:c r="HB27" s="59"/>
      <x:c r="HC27" s="59"/>
      <x:c r="HD27" s="59"/>
      <x:c r="HE27" s="59"/>
      <x:c r="HF27" s="59"/>
      <x:c r="HG27" s="59"/>
      <x:c r="HH27" s="59"/>
      <x:c r="HI27" s="59"/>
      <x:c r="HJ27" s="59"/>
      <x:c r="HK27" s="59"/>
      <x:c r="HL27" s="59"/>
      <x:c r="HM27" s="59"/>
      <x:c r="HN27" s="59"/>
      <x:c r="HO27" s="59"/>
      <x:c r="HP27" s="59"/>
      <x:c r="HQ27" s="59"/>
      <x:c r="HR27" s="59"/>
      <x:c r="HS27" s="59"/>
      <x:c r="HT27" s="59"/>
      <x:c r="HU27" s="59"/>
      <x:c r="HV27" s="59"/>
      <x:c r="HW27" s="59"/>
      <x:c r="HX27" s="59"/>
      <x:c r="HY27" s="59"/>
      <x:c r="HZ27" s="59"/>
      <x:c r="IA27" s="59"/>
      <x:c r="IB27" s="59"/>
      <x:c r="IC27" s="59"/>
      <x:c r="ID27" s="59"/>
      <x:c r="IE27" s="59"/>
      <x:c r="IF27" s="59"/>
      <x:c r="IG27" s="59"/>
      <x:c r="IH27" s="59"/>
      <x:c r="II27" s="59"/>
      <x:c r="IJ27" s="59"/>
      <x:c r="IK27" s="59"/>
      <x:c r="IL27" s="59"/>
      <x:c r="IM27" s="59"/>
      <x:c r="IN27" s="59"/>
      <x:c r="IO27" s="59"/>
      <x:c r="IP27" s="59"/>
      <x:c r="IQ27" s="59"/>
      <x:c r="IR27" s="59"/>
      <x:c r="IS27" s="59"/>
      <x:c r="IT27" s="59"/>
      <x:c r="IU27" s="59"/>
      <x:c r="IV27" s="59"/>
      <x:c r="IW27" s="59"/>
      <x:c r="IX27" s="59"/>
      <x:c r="IY27" s="59"/>
      <x:c r="IZ27" s="59"/>
      <x:c r="JA27" s="59"/>
      <x:c r="JB27" s="59"/>
      <x:c r="JC27" s="59"/>
      <x:c r="JD27" s="59"/>
      <x:c r="JE27" s="59"/>
      <x:c r="JF27" s="59"/>
      <x:c r="JG27" s="59"/>
      <x:c r="JH27" s="59"/>
      <x:c r="JI27" s="59"/>
      <x:c r="JJ27" s="59"/>
      <x:c r="JK27" s="59"/>
      <x:c r="JL27" s="59"/>
      <x:c r="JM27" s="59"/>
      <x:c r="JN27" s="59"/>
      <x:c r="JO27" s="59"/>
      <x:c r="JP27" s="59"/>
      <x:c r="JQ27" s="59"/>
      <x:c r="JR27" s="59"/>
      <x:c r="JS27" s="59"/>
      <x:c r="JT27" s="59"/>
      <x:c r="JU27" s="59"/>
      <x:c r="JV27" s="59"/>
      <x:c r="JW27" s="59"/>
      <x:c r="JX27" s="59"/>
      <x:c r="JY27" s="59"/>
      <x:c r="JZ27" s="59"/>
      <x:c r="KA27" s="59"/>
      <x:c r="KB27" s="59"/>
      <x:c r="KC27" s="59"/>
      <x:c r="KD27" s="59"/>
      <x:c r="KE27" s="59"/>
      <x:c r="KF27" s="59"/>
      <x:c r="KG27" s="59"/>
      <x:c r="KH27" s="59"/>
      <x:c r="KI27" s="59"/>
      <x:c r="KJ27" s="59"/>
      <x:c r="KK27" s="59"/>
      <x:c r="KL27" s="59"/>
      <x:c r="KM27" s="59"/>
      <x:c r="KN27" s="59"/>
      <x:c r="KO27" s="59"/>
      <x:c r="KP27" s="59"/>
      <x:c r="KQ27" s="59"/>
      <x:c r="KR27" s="59"/>
      <x:c r="KS27" s="59"/>
      <x:c r="KT27" s="59"/>
      <x:c r="KU27" s="59"/>
      <x:c r="KV27" s="59"/>
      <x:c r="KW27" s="59"/>
      <x:c r="KX27" s="59"/>
      <x:c r="KY27" s="59"/>
      <x:c r="KZ27" s="59"/>
      <x:c r="LA27" s="59"/>
      <x:c r="LB27" s="59"/>
      <x:c r="LC27" s="59"/>
      <x:c r="LD27" s="59"/>
      <x:c r="LE27" s="59"/>
      <x:c r="LF27" s="59"/>
      <x:c r="LG27" s="59"/>
      <x:c r="LH27" s="59"/>
      <x:c r="LI27" s="59"/>
      <x:c r="LJ27" s="59"/>
      <x:c r="LK27" s="59"/>
      <x:c r="LL27" s="59"/>
      <x:c r="LM27" s="59"/>
      <x:c r="LN27" s="59"/>
      <x:c r="LO27" s="59"/>
      <x:c r="LP27" s="59"/>
      <x:c r="LQ27" s="59"/>
      <x:c r="LR27" s="59"/>
      <x:c r="LS27" s="59"/>
      <x:c r="LT27" s="59"/>
      <x:c r="LU27" s="59"/>
      <x:c r="LV27" s="59"/>
      <x:c r="LW27" s="59"/>
      <x:c r="LX27" s="59"/>
      <x:c r="LY27" s="59"/>
      <x:c r="LZ27" s="59"/>
      <x:c r="MA27" s="59"/>
      <x:c r="MB27" s="59"/>
      <x:c r="MC27" s="59"/>
      <x:c r="MD27" s="59"/>
      <x:c r="ME27" s="59"/>
      <x:c r="MF27" s="59"/>
      <x:c r="MG27" s="59"/>
      <x:c r="MH27" s="59"/>
      <x:c r="MI27" s="59"/>
      <x:c r="MJ27" s="59"/>
      <x:c r="MK27" s="59"/>
      <x:c r="ML27" s="59"/>
      <x:c r="MM27" s="59"/>
      <x:c r="MN27" s="59"/>
      <x:c r="MO27" s="59"/>
      <x:c r="MP27" s="59"/>
      <x:c r="MQ27" s="59"/>
      <x:c r="MR27" s="59"/>
      <x:c r="MS27" s="59"/>
      <x:c r="MT27" s="59"/>
      <x:c r="MU27" s="59"/>
      <x:c r="MV27" s="59"/>
      <x:c r="MW27" s="59"/>
      <x:c r="MX27" s="59"/>
      <x:c r="MY27" s="59"/>
      <x:c r="MZ27" s="59"/>
      <x:c r="NA27" s="59"/>
      <x:c r="NB27" s="59"/>
      <x:c r="NC27" s="59"/>
      <x:c r="ND27" s="59"/>
      <x:c r="NE27" s="59"/>
      <x:c r="NF27" s="59"/>
      <x:c r="NG27" s="59"/>
      <x:c r="NH27" s="59"/>
      <x:c r="NI27" s="59"/>
      <x:c r="NJ27" s="59"/>
      <x:c r="NK27" s="59"/>
      <x:c r="NL27" s="59"/>
      <x:c r="NM27" s="59"/>
      <x:c r="NN27" s="59"/>
      <x:c r="NO27" s="59"/>
      <x:c r="NP27" s="59"/>
      <x:c r="NQ27" s="59"/>
      <x:c r="NR27" s="59"/>
      <x:c r="NS27" s="59"/>
      <x:c r="NT27" s="59"/>
      <x:c r="NU27" s="59"/>
      <x:c r="NV27" s="59"/>
      <x:c r="NW27" s="59"/>
      <x:c r="NX27" s="59"/>
      <x:c r="NY27" s="59"/>
      <x:c r="NZ27" s="59"/>
      <x:c r="OA27" s="59"/>
      <x:c r="OB27" s="59"/>
      <x:c r="OC27" s="59"/>
      <x:c r="OD27" s="59"/>
      <x:c r="OE27" s="59"/>
      <x:c r="OF27" s="59"/>
      <x:c r="OG27" s="59"/>
      <x:c r="OH27" s="59"/>
      <x:c r="OI27" s="59"/>
      <x:c r="OJ27" s="59"/>
      <x:c r="OK27" s="59"/>
      <x:c r="OL27" s="59"/>
      <x:c r="OM27" s="59"/>
      <x:c r="ON27" s="59"/>
      <x:c r="OO27" s="59"/>
      <x:c r="OP27" s="59"/>
      <x:c r="OQ27" s="59"/>
      <x:c r="OR27" s="59"/>
      <x:c r="OS27" s="59"/>
      <x:c r="OT27" s="59"/>
      <x:c r="OU27" s="59"/>
      <x:c r="OV27" s="59"/>
      <x:c r="OW27" s="59"/>
      <x:c r="OX27" s="59"/>
      <x:c r="OY27" s="59"/>
      <x:c r="OZ27" s="59"/>
      <x:c r="PA27" s="59"/>
      <x:c r="PB27" s="59"/>
      <x:c r="PC27" s="59"/>
      <x:c r="PD27" s="59"/>
      <x:c r="PE27" s="59"/>
      <x:c r="PF27" s="59"/>
      <x:c r="PG27" s="59"/>
      <x:c r="PH27" s="59"/>
      <x:c r="PI27" s="59"/>
      <x:c r="PJ27" s="59"/>
      <x:c r="PK27" s="59"/>
      <x:c r="PL27" s="59"/>
      <x:c r="PM27" s="59"/>
      <x:c r="PN27" s="59"/>
      <x:c r="PO27" s="59"/>
      <x:c r="PP27" s="59"/>
      <x:c r="PQ27" s="59"/>
      <x:c r="PR27" s="59"/>
      <x:c r="PS27" s="59"/>
      <x:c r="PT27" s="59"/>
      <x:c r="PU27" s="59"/>
      <x:c r="PV27" s="59"/>
      <x:c r="PW27" s="59"/>
      <x:c r="PX27" s="59"/>
      <x:c r="PY27" s="59"/>
      <x:c r="PZ27" s="59"/>
      <x:c r="QA27" s="59"/>
      <x:c r="QB27" s="59"/>
      <x:c r="QC27" s="59"/>
      <x:c r="QD27" s="59"/>
      <x:c r="QE27" s="59"/>
      <x:c r="QF27" s="59"/>
      <x:c r="QG27" s="59"/>
      <x:c r="QH27" s="59"/>
      <x:c r="QI27" s="59"/>
      <x:c r="QJ27" s="59"/>
      <x:c r="QK27" s="59"/>
      <x:c r="QL27" s="59"/>
      <x:c r="QM27" s="59"/>
      <x:c r="QN27" s="59"/>
      <x:c r="QO27" s="59"/>
      <x:c r="QP27" s="59"/>
      <x:c r="QQ27" s="59"/>
      <x:c r="QR27" s="59"/>
      <x:c r="QS27" s="59"/>
      <x:c r="QT27" s="59"/>
      <x:c r="QU27" s="59"/>
      <x:c r="QV27" s="59"/>
      <x:c r="QW27" s="59"/>
      <x:c r="QX27" s="59"/>
      <x:c r="QY27" s="59"/>
      <x:c r="QZ27" s="59"/>
      <x:c r="RA27" s="59"/>
      <x:c r="RB27" s="59"/>
      <x:c r="RC27" s="59"/>
      <x:c r="RD27" s="59"/>
      <x:c r="RE27" s="59"/>
      <x:c r="RF27" s="59"/>
      <x:c r="RG27" s="59"/>
      <x:c r="RH27" s="59"/>
      <x:c r="RI27" s="59"/>
      <x:c r="RJ27" s="59"/>
      <x:c r="RK27" s="59"/>
      <x:c r="RL27" s="59"/>
      <x:c r="RM27" s="59"/>
      <x:c r="RN27" s="59"/>
      <x:c r="RO27" s="59"/>
      <x:c r="RP27" s="59"/>
      <x:c r="RQ27" s="59"/>
      <x:c r="RR27" s="59"/>
      <x:c r="RS27" s="59"/>
      <x:c r="RT27" s="59"/>
      <x:c r="RU27" s="59"/>
      <x:c r="RV27" s="59"/>
      <x:c r="RW27" s="59"/>
      <x:c r="RX27" s="59"/>
      <x:c r="RY27" s="59"/>
      <x:c r="RZ27" s="59"/>
      <x:c r="SA27" s="59"/>
      <x:c r="SB27" s="59"/>
      <x:c r="SC27" s="59"/>
      <x:c r="SD27" s="59"/>
      <x:c r="SE27" s="59"/>
      <x:c r="SF27" s="59"/>
    </x:row>
    <x:row r="28">
      <x:c r="A28" s="60">
        <x:v>6</x:v>
      </x:c>
      <x:c r="B28" s="63" t="s">
        <x:v>46</x:v>
      </x:c>
      <x:c r="C28" s="63"/>
      <x:c r="D28" s="63" t="s">
        <x:v>47</x:v>
      </x:c>
      <x:c r="E28" s="63"/>
      <x:c r="F28" s="63" t="s">
        <x:v>48</x:v>
      </x:c>
      <x:c r="G28" s="63"/>
      <x:c r="H28" s="63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  <x:c r="AA28" s="59"/>
      <x:c r="AB28" s="59"/>
      <x:c r="AC28" s="59"/>
      <x:c r="AD28" s="59"/>
      <x:c r="AE28" s="59"/>
      <x:c r="AF28" s="59"/>
      <x:c r="AG28" s="59"/>
      <x:c r="AH28" s="59"/>
      <x:c r="AI28" s="59"/>
      <x:c r="AJ28" s="59"/>
      <x:c r="AK28" s="59"/>
      <x:c r="AL28" s="59"/>
      <x:c r="AM28" s="59"/>
      <x:c r="AN28" s="59"/>
      <x:c r="AO28" s="59"/>
      <x:c r="AP28" s="59"/>
      <x:c r="AQ28" s="59"/>
      <x:c r="AR28" s="59"/>
      <x:c r="AS28" s="59"/>
      <x:c r="AT28" s="59"/>
      <x:c r="AU28" s="59"/>
      <x:c r="AV28" s="59"/>
      <x:c r="AW28" s="59"/>
      <x:c r="AX28" s="59"/>
      <x:c r="AY28" s="59"/>
      <x:c r="AZ28" s="59"/>
      <x:c r="BA28" s="59"/>
      <x:c r="BB28" s="59"/>
      <x:c r="BC28" s="59"/>
      <x:c r="BD28" s="59"/>
      <x:c r="BE28" s="59"/>
      <x:c r="BF28" s="59"/>
      <x:c r="BG28" s="59"/>
      <x:c r="BH28" s="59"/>
      <x:c r="BI28" s="59"/>
      <x:c r="BJ28" s="59"/>
      <x:c r="BK28" s="59"/>
      <x:c r="BL28" s="59"/>
      <x:c r="BM28" s="59"/>
      <x:c r="BN28" s="59"/>
      <x:c r="BO28" s="59"/>
      <x:c r="BP28" s="59"/>
      <x:c r="BQ28" s="59"/>
      <x:c r="BR28" s="59"/>
      <x:c r="BS28" s="59"/>
      <x:c r="BT28" s="59"/>
      <x:c r="BU28" s="59"/>
      <x:c r="BV28" s="59"/>
      <x:c r="BW28" s="59"/>
      <x:c r="BX28" s="59"/>
      <x:c r="BY28" s="59"/>
      <x:c r="BZ28" s="59"/>
      <x:c r="CA28" s="59"/>
      <x:c r="CB28" s="59"/>
      <x:c r="CC28" s="59"/>
      <x:c r="CD28" s="59"/>
      <x:c r="CE28" s="59"/>
      <x:c r="CF28" s="59"/>
      <x:c r="CG28" s="59"/>
      <x:c r="CH28" s="59"/>
      <x:c r="CI28" s="59"/>
      <x:c r="CJ28" s="59"/>
      <x:c r="CK28" s="59"/>
      <x:c r="CL28" s="59"/>
      <x:c r="CM28" s="59"/>
      <x:c r="CN28" s="59"/>
      <x:c r="CO28" s="59"/>
      <x:c r="CP28" s="59"/>
      <x:c r="CQ28" s="59"/>
      <x:c r="CR28" s="59"/>
      <x:c r="CS28" s="59"/>
      <x:c r="CT28" s="59"/>
      <x:c r="CU28" s="59"/>
      <x:c r="CV28" s="59"/>
      <x:c r="CW28" s="59"/>
      <x:c r="CX28" s="59"/>
      <x:c r="CY28" s="59"/>
      <x:c r="CZ28" s="59"/>
      <x:c r="DA28" s="59"/>
      <x:c r="DB28" s="59"/>
      <x:c r="DC28" s="59"/>
      <x:c r="DD28" s="59"/>
      <x:c r="DE28" s="59"/>
      <x:c r="DF28" s="59"/>
      <x:c r="DG28" s="59"/>
      <x:c r="DH28" s="59"/>
      <x:c r="DI28" s="59"/>
      <x:c r="DJ28" s="59"/>
      <x:c r="DK28" s="59"/>
      <x:c r="DL28" s="59"/>
      <x:c r="DM28" s="59"/>
      <x:c r="DN28" s="59"/>
      <x:c r="DO28" s="59"/>
      <x:c r="DP28" s="59"/>
      <x:c r="DQ28" s="59"/>
      <x:c r="DR28" s="59"/>
      <x:c r="DS28" s="59"/>
      <x:c r="DT28" s="59"/>
      <x:c r="DU28" s="59"/>
      <x:c r="DV28" s="59"/>
      <x:c r="DW28" s="59"/>
      <x:c r="DX28" s="59"/>
      <x:c r="DY28" s="59"/>
      <x:c r="DZ28" s="59"/>
      <x:c r="EA28" s="59"/>
      <x:c r="EB28" s="59"/>
      <x:c r="EC28" s="59"/>
      <x:c r="ED28" s="59"/>
      <x:c r="EE28" s="59"/>
      <x:c r="EF28" s="59"/>
      <x:c r="EG28" s="59"/>
      <x:c r="EH28" s="59"/>
      <x:c r="EI28" s="59"/>
      <x:c r="EJ28" s="59"/>
      <x:c r="EK28" s="59"/>
      <x:c r="EL28" s="59"/>
      <x:c r="EM28" s="59"/>
      <x:c r="EN28" s="59"/>
      <x:c r="EO28" s="59"/>
      <x:c r="EP28" s="59"/>
      <x:c r="EQ28" s="59"/>
      <x:c r="ER28" s="59"/>
      <x:c r="ES28" s="59"/>
      <x:c r="ET28" s="59"/>
      <x:c r="EU28" s="59"/>
      <x:c r="EV28" s="59"/>
      <x:c r="EW28" s="59"/>
      <x:c r="EX28" s="59"/>
      <x:c r="EY28" s="59"/>
      <x:c r="EZ28" s="59"/>
      <x:c r="FA28" s="59"/>
      <x:c r="FB28" s="59"/>
      <x:c r="FC28" s="59"/>
      <x:c r="FD28" s="59"/>
      <x:c r="FE28" s="59"/>
      <x:c r="FF28" s="59"/>
      <x:c r="FG28" s="59"/>
      <x:c r="FH28" s="59"/>
      <x:c r="FI28" s="59"/>
      <x:c r="FJ28" s="59"/>
      <x:c r="FK28" s="59"/>
      <x:c r="FL28" s="59"/>
      <x:c r="FM28" s="59"/>
      <x:c r="FN28" s="59"/>
      <x:c r="FO28" s="59"/>
      <x:c r="FP28" s="59"/>
      <x:c r="FQ28" s="59"/>
      <x:c r="FR28" s="59"/>
      <x:c r="FS28" s="59"/>
      <x:c r="FT28" s="59"/>
      <x:c r="FU28" s="59"/>
      <x:c r="FV28" s="59"/>
      <x:c r="FW28" s="59"/>
      <x:c r="FX28" s="59"/>
      <x:c r="FY28" s="59"/>
      <x:c r="FZ28" s="59"/>
      <x:c r="GA28" s="59"/>
      <x:c r="GB28" s="59"/>
      <x:c r="GC28" s="59"/>
      <x:c r="GD28" s="59"/>
      <x:c r="GE28" s="59"/>
      <x:c r="GF28" s="59"/>
      <x:c r="GG28" s="59"/>
      <x:c r="GH28" s="59"/>
      <x:c r="GI28" s="59"/>
      <x:c r="GJ28" s="59"/>
      <x:c r="GK28" s="59"/>
      <x:c r="GL28" s="59"/>
      <x:c r="GM28" s="59"/>
      <x:c r="GN28" s="59"/>
      <x:c r="GO28" s="59"/>
      <x:c r="GP28" s="59"/>
      <x:c r="GQ28" s="59"/>
      <x:c r="GR28" s="59"/>
      <x:c r="GS28" s="59"/>
      <x:c r="GT28" s="59"/>
      <x:c r="GU28" s="59"/>
      <x:c r="GV28" s="59"/>
      <x:c r="GW28" s="59"/>
      <x:c r="GX28" s="59"/>
      <x:c r="GY28" s="59"/>
      <x:c r="GZ28" s="59"/>
      <x:c r="HA28" s="59"/>
      <x:c r="HB28" s="59"/>
      <x:c r="HC28" s="59"/>
      <x:c r="HD28" s="59"/>
      <x:c r="HE28" s="59"/>
      <x:c r="HF28" s="59"/>
      <x:c r="HG28" s="59"/>
      <x:c r="HH28" s="59"/>
      <x:c r="HI28" s="59"/>
      <x:c r="HJ28" s="59"/>
      <x:c r="HK28" s="59"/>
      <x:c r="HL28" s="59"/>
      <x:c r="HM28" s="59"/>
      <x:c r="HN28" s="59"/>
      <x:c r="HO28" s="59"/>
      <x:c r="HP28" s="59"/>
      <x:c r="HQ28" s="59"/>
      <x:c r="HR28" s="59"/>
      <x:c r="HS28" s="59"/>
      <x:c r="HT28" s="59"/>
      <x:c r="HU28" s="59"/>
      <x:c r="HV28" s="59"/>
      <x:c r="HW28" s="59"/>
      <x:c r="HX28" s="59"/>
      <x:c r="HY28" s="59"/>
      <x:c r="HZ28" s="59"/>
      <x:c r="IA28" s="59"/>
      <x:c r="IB28" s="59"/>
      <x:c r="IC28" s="59"/>
      <x:c r="ID28" s="59"/>
      <x:c r="IE28" s="59"/>
      <x:c r="IF28" s="59"/>
      <x:c r="IG28" s="59"/>
      <x:c r="IH28" s="59"/>
      <x:c r="II28" s="59"/>
      <x:c r="IJ28" s="59"/>
      <x:c r="IK28" s="59"/>
      <x:c r="IL28" s="59"/>
      <x:c r="IM28" s="59"/>
      <x:c r="IN28" s="59"/>
      <x:c r="IO28" s="59"/>
      <x:c r="IP28" s="59"/>
      <x:c r="IQ28" s="59"/>
      <x:c r="IR28" s="59"/>
      <x:c r="IS28" s="59"/>
      <x:c r="IT28" s="59"/>
      <x:c r="IU28" s="59"/>
      <x:c r="IV28" s="59"/>
      <x:c r="IW28" s="59"/>
      <x:c r="IX28" s="59"/>
      <x:c r="IY28" s="59"/>
      <x:c r="IZ28" s="59"/>
      <x:c r="JA28" s="59"/>
      <x:c r="JB28" s="59"/>
      <x:c r="JC28" s="59"/>
      <x:c r="JD28" s="59"/>
      <x:c r="JE28" s="59"/>
      <x:c r="JF28" s="59"/>
      <x:c r="JG28" s="59"/>
      <x:c r="JH28" s="59"/>
      <x:c r="JI28" s="59"/>
      <x:c r="JJ28" s="59"/>
      <x:c r="JK28" s="59"/>
      <x:c r="JL28" s="59"/>
      <x:c r="JM28" s="59"/>
      <x:c r="JN28" s="59"/>
      <x:c r="JO28" s="59"/>
      <x:c r="JP28" s="59"/>
      <x:c r="JQ28" s="59"/>
      <x:c r="JR28" s="59"/>
      <x:c r="JS28" s="59"/>
      <x:c r="JT28" s="59"/>
      <x:c r="JU28" s="59"/>
      <x:c r="JV28" s="59"/>
      <x:c r="JW28" s="59"/>
      <x:c r="JX28" s="59"/>
      <x:c r="JY28" s="59"/>
      <x:c r="JZ28" s="59"/>
      <x:c r="KA28" s="59"/>
      <x:c r="KB28" s="59"/>
      <x:c r="KC28" s="59"/>
      <x:c r="KD28" s="59"/>
      <x:c r="KE28" s="59"/>
      <x:c r="KF28" s="59"/>
      <x:c r="KG28" s="59"/>
      <x:c r="KH28" s="59"/>
      <x:c r="KI28" s="59"/>
      <x:c r="KJ28" s="59"/>
      <x:c r="KK28" s="59"/>
      <x:c r="KL28" s="59"/>
      <x:c r="KM28" s="59"/>
      <x:c r="KN28" s="59"/>
      <x:c r="KO28" s="59"/>
      <x:c r="KP28" s="59"/>
      <x:c r="KQ28" s="59"/>
      <x:c r="KR28" s="59"/>
      <x:c r="KS28" s="59"/>
      <x:c r="KT28" s="59"/>
      <x:c r="KU28" s="59"/>
      <x:c r="KV28" s="59"/>
      <x:c r="KW28" s="59"/>
      <x:c r="KX28" s="59"/>
      <x:c r="KY28" s="59"/>
      <x:c r="KZ28" s="59"/>
      <x:c r="LA28" s="59"/>
      <x:c r="LB28" s="59"/>
      <x:c r="LC28" s="59"/>
      <x:c r="LD28" s="59"/>
      <x:c r="LE28" s="59"/>
      <x:c r="LF28" s="59"/>
      <x:c r="LG28" s="59"/>
      <x:c r="LH28" s="59"/>
      <x:c r="LI28" s="59"/>
      <x:c r="LJ28" s="59"/>
      <x:c r="LK28" s="59"/>
      <x:c r="LL28" s="59"/>
      <x:c r="LM28" s="59"/>
      <x:c r="LN28" s="59"/>
      <x:c r="LO28" s="59"/>
      <x:c r="LP28" s="59"/>
      <x:c r="LQ28" s="59"/>
      <x:c r="LR28" s="59"/>
      <x:c r="LS28" s="59"/>
      <x:c r="LT28" s="59"/>
      <x:c r="LU28" s="59"/>
      <x:c r="LV28" s="59"/>
      <x:c r="LW28" s="59"/>
      <x:c r="LX28" s="59"/>
      <x:c r="LY28" s="59"/>
      <x:c r="LZ28" s="59"/>
      <x:c r="MA28" s="59"/>
      <x:c r="MB28" s="59"/>
      <x:c r="MC28" s="59"/>
      <x:c r="MD28" s="59"/>
      <x:c r="ME28" s="59"/>
      <x:c r="MF28" s="59"/>
      <x:c r="MG28" s="59"/>
      <x:c r="MH28" s="59"/>
      <x:c r="MI28" s="59"/>
      <x:c r="MJ28" s="59"/>
      <x:c r="MK28" s="59"/>
      <x:c r="ML28" s="59"/>
      <x:c r="MM28" s="59"/>
      <x:c r="MN28" s="59"/>
      <x:c r="MO28" s="59"/>
      <x:c r="MP28" s="59"/>
      <x:c r="MQ28" s="59"/>
      <x:c r="MR28" s="59"/>
      <x:c r="MS28" s="59"/>
      <x:c r="MT28" s="59"/>
      <x:c r="MU28" s="59"/>
      <x:c r="MV28" s="59"/>
      <x:c r="MW28" s="59"/>
      <x:c r="MX28" s="59"/>
      <x:c r="MY28" s="59"/>
      <x:c r="MZ28" s="59"/>
      <x:c r="NA28" s="59"/>
      <x:c r="NB28" s="59"/>
      <x:c r="NC28" s="59"/>
      <x:c r="ND28" s="59"/>
      <x:c r="NE28" s="59"/>
      <x:c r="NF28" s="59"/>
      <x:c r="NG28" s="59"/>
      <x:c r="NH28" s="59"/>
      <x:c r="NI28" s="59"/>
      <x:c r="NJ28" s="59"/>
      <x:c r="NK28" s="59"/>
      <x:c r="NL28" s="59"/>
      <x:c r="NM28" s="59"/>
      <x:c r="NN28" s="59"/>
      <x:c r="NO28" s="59"/>
      <x:c r="NP28" s="59"/>
      <x:c r="NQ28" s="59"/>
      <x:c r="NR28" s="59"/>
      <x:c r="NS28" s="59"/>
      <x:c r="NT28" s="59"/>
      <x:c r="NU28" s="59"/>
      <x:c r="NV28" s="59"/>
      <x:c r="NW28" s="59"/>
      <x:c r="NX28" s="59"/>
      <x:c r="NY28" s="59"/>
      <x:c r="NZ28" s="59"/>
      <x:c r="OA28" s="59"/>
      <x:c r="OB28" s="59"/>
      <x:c r="OC28" s="59"/>
      <x:c r="OD28" s="59"/>
      <x:c r="OE28" s="59"/>
      <x:c r="OF28" s="59"/>
      <x:c r="OG28" s="59"/>
      <x:c r="OH28" s="59"/>
      <x:c r="OI28" s="59"/>
      <x:c r="OJ28" s="59"/>
      <x:c r="OK28" s="59"/>
      <x:c r="OL28" s="59"/>
      <x:c r="OM28" s="59"/>
      <x:c r="ON28" s="59"/>
      <x:c r="OO28" s="59"/>
      <x:c r="OP28" s="59"/>
      <x:c r="OQ28" s="59"/>
      <x:c r="OR28" s="59"/>
      <x:c r="OS28" s="59"/>
      <x:c r="OT28" s="59"/>
      <x:c r="OU28" s="59"/>
      <x:c r="OV28" s="59"/>
      <x:c r="OW28" s="59"/>
      <x:c r="OX28" s="59"/>
      <x:c r="OY28" s="59"/>
      <x:c r="OZ28" s="59"/>
      <x:c r="PA28" s="59"/>
      <x:c r="PB28" s="59"/>
      <x:c r="PC28" s="59"/>
      <x:c r="PD28" s="59"/>
      <x:c r="PE28" s="59"/>
      <x:c r="PF28" s="59"/>
      <x:c r="PG28" s="59"/>
      <x:c r="PH28" s="59"/>
      <x:c r="PI28" s="59"/>
      <x:c r="PJ28" s="59"/>
      <x:c r="PK28" s="59"/>
      <x:c r="PL28" s="59"/>
      <x:c r="PM28" s="59"/>
      <x:c r="PN28" s="59"/>
      <x:c r="PO28" s="59"/>
      <x:c r="PP28" s="59"/>
      <x:c r="PQ28" s="59"/>
      <x:c r="PR28" s="59"/>
      <x:c r="PS28" s="59"/>
      <x:c r="PT28" s="59"/>
      <x:c r="PU28" s="59"/>
      <x:c r="PV28" s="59"/>
      <x:c r="PW28" s="59"/>
      <x:c r="PX28" s="59"/>
      <x:c r="PY28" s="59"/>
      <x:c r="PZ28" s="59"/>
      <x:c r="QA28" s="59"/>
      <x:c r="QB28" s="59"/>
      <x:c r="QC28" s="59"/>
      <x:c r="QD28" s="59"/>
      <x:c r="QE28" s="59"/>
      <x:c r="QF28" s="59"/>
      <x:c r="QG28" s="59"/>
      <x:c r="QH28" s="59"/>
      <x:c r="QI28" s="59"/>
      <x:c r="QJ28" s="59"/>
      <x:c r="QK28" s="59"/>
      <x:c r="QL28" s="59"/>
      <x:c r="QM28" s="59"/>
      <x:c r="QN28" s="59"/>
      <x:c r="QO28" s="59"/>
      <x:c r="QP28" s="59"/>
      <x:c r="QQ28" s="59"/>
      <x:c r="QR28" s="59"/>
      <x:c r="QS28" s="59"/>
      <x:c r="QT28" s="59"/>
      <x:c r="QU28" s="59"/>
      <x:c r="QV28" s="59"/>
      <x:c r="QW28" s="59"/>
      <x:c r="QX28" s="59"/>
      <x:c r="QY28" s="59"/>
      <x:c r="QZ28" s="59"/>
      <x:c r="RA28" s="59"/>
      <x:c r="RB28" s="59"/>
      <x:c r="RC28" s="59"/>
      <x:c r="RD28" s="59"/>
      <x:c r="RE28" s="59"/>
      <x:c r="RF28" s="59"/>
      <x:c r="RG28" s="59"/>
      <x:c r="RH28" s="59"/>
      <x:c r="RI28" s="59"/>
      <x:c r="RJ28" s="59"/>
      <x:c r="RK28" s="59"/>
      <x:c r="RL28" s="59"/>
      <x:c r="RM28" s="59"/>
      <x:c r="RN28" s="59"/>
      <x:c r="RO28" s="59"/>
      <x:c r="RP28" s="59"/>
      <x:c r="RQ28" s="59"/>
      <x:c r="RR28" s="59"/>
      <x:c r="RS28" s="59"/>
      <x:c r="RT28" s="59"/>
      <x:c r="RU28" s="59"/>
      <x:c r="RV28" s="59"/>
      <x:c r="RW28" s="59"/>
      <x:c r="RX28" s="59"/>
      <x:c r="RY28" s="59"/>
      <x:c r="RZ28" s="59"/>
      <x:c r="SA28" s="59"/>
      <x:c r="SB28" s="59"/>
      <x:c r="SC28" s="59"/>
      <x:c r="SD28" s="59"/>
      <x:c r="SE28" s="59"/>
      <x:c r="SF28" s="59"/>
    </x:row>
    <x:row r="30" ht="15.75" customHeight="1">
      <x:c r="A30" s="62" t="s">
        <x:v>49</x:v>
      </x:c>
      <x:c r="B30" s="62"/>
      <x:c r="C30" s="62"/>
      <x:c r="D30" s="62"/>
      <x:c r="E30" s="62"/>
      <x:c r="F30" s="62"/>
      <x:c r="G30" s="62"/>
      <x:c r="H30" s="62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  <x:c r="AA30" s="59"/>
      <x:c r="AB30" s="59"/>
      <x:c r="AC30" s="59"/>
      <x:c r="AD30" s="59"/>
      <x:c r="AE30" s="59"/>
      <x:c r="AF30" s="59"/>
      <x:c r="AG30" s="59"/>
      <x:c r="AH30" s="59"/>
      <x:c r="AI30" s="59"/>
      <x:c r="AJ30" s="59"/>
      <x:c r="AK30" s="59"/>
      <x:c r="AL30" s="59"/>
      <x:c r="AM30" s="59"/>
      <x:c r="AN30" s="59"/>
      <x:c r="AO30" s="59"/>
      <x:c r="AP30" s="59"/>
      <x:c r="AQ30" s="59"/>
      <x:c r="AR30" s="59"/>
      <x:c r="AS30" s="59"/>
      <x:c r="AT30" s="59"/>
      <x:c r="AU30" s="59"/>
      <x:c r="AV30" s="59"/>
      <x:c r="AW30" s="59"/>
      <x:c r="AX30" s="59"/>
      <x:c r="AY30" s="59"/>
      <x:c r="AZ30" s="59"/>
      <x:c r="BA30" s="59"/>
      <x:c r="BB30" s="59"/>
      <x:c r="BC30" s="59"/>
      <x:c r="BD30" s="59"/>
      <x:c r="BE30" s="59"/>
      <x:c r="BF30" s="59"/>
      <x:c r="BG30" s="59"/>
      <x:c r="BH30" s="59"/>
      <x:c r="BI30" s="59"/>
      <x:c r="BJ30" s="59"/>
      <x:c r="BK30" s="59"/>
      <x:c r="BL30" s="59"/>
      <x:c r="BM30" s="59"/>
      <x:c r="BN30" s="59"/>
      <x:c r="BO30" s="59"/>
      <x:c r="BP30" s="59"/>
      <x:c r="BQ30" s="59"/>
      <x:c r="BR30" s="59"/>
      <x:c r="BS30" s="59"/>
      <x:c r="BT30" s="59"/>
      <x:c r="BU30" s="59"/>
      <x:c r="BV30" s="59"/>
      <x:c r="BW30" s="59"/>
      <x:c r="BX30" s="59"/>
      <x:c r="BY30" s="59"/>
      <x:c r="BZ30" s="59"/>
      <x:c r="CA30" s="59"/>
      <x:c r="CB30" s="59"/>
      <x:c r="CC30" s="59"/>
      <x:c r="CD30" s="59"/>
      <x:c r="CE30" s="59"/>
      <x:c r="CF30" s="59"/>
      <x:c r="CG30" s="59"/>
      <x:c r="CH30" s="59"/>
      <x:c r="CI30" s="59"/>
      <x:c r="CJ30" s="59"/>
      <x:c r="CK30" s="59"/>
      <x:c r="CL30" s="59"/>
      <x:c r="CM30" s="59"/>
      <x:c r="CN30" s="59"/>
      <x:c r="CO30" s="59"/>
      <x:c r="CP30" s="59"/>
      <x:c r="CQ30" s="59"/>
      <x:c r="CR30" s="59"/>
      <x:c r="CS30" s="59"/>
      <x:c r="CT30" s="59"/>
      <x:c r="CU30" s="59"/>
      <x:c r="CV30" s="59"/>
      <x:c r="CW30" s="59"/>
      <x:c r="CX30" s="59"/>
      <x:c r="CY30" s="59"/>
      <x:c r="CZ30" s="59"/>
      <x:c r="DA30" s="59"/>
      <x:c r="DB30" s="59"/>
      <x:c r="DC30" s="59"/>
      <x:c r="DD30" s="59"/>
      <x:c r="DE30" s="59"/>
      <x:c r="DF30" s="59"/>
      <x:c r="DG30" s="59"/>
      <x:c r="DH30" s="59"/>
      <x:c r="DI30" s="59"/>
      <x:c r="DJ30" s="59"/>
      <x:c r="DK30" s="59"/>
      <x:c r="DL30" s="59"/>
      <x:c r="DM30" s="59"/>
      <x:c r="DN30" s="59"/>
      <x:c r="DO30" s="59"/>
      <x:c r="DP30" s="59"/>
      <x:c r="DQ30" s="59"/>
      <x:c r="DR30" s="59"/>
      <x:c r="DS30" s="59"/>
      <x:c r="DT30" s="59"/>
      <x:c r="DU30" s="59"/>
      <x:c r="DV30" s="59"/>
      <x:c r="DW30" s="59"/>
      <x:c r="DX30" s="59"/>
      <x:c r="DY30" s="59"/>
      <x:c r="DZ30" s="59"/>
      <x:c r="EA30" s="59"/>
      <x:c r="EB30" s="59"/>
      <x:c r="EC30" s="59"/>
      <x:c r="ED30" s="59"/>
      <x:c r="EE30" s="59"/>
      <x:c r="EF30" s="59"/>
      <x:c r="EG30" s="59"/>
      <x:c r="EH30" s="59"/>
      <x:c r="EI30" s="59"/>
      <x:c r="EJ30" s="59"/>
      <x:c r="EK30" s="59"/>
      <x:c r="EL30" s="59"/>
      <x:c r="EM30" s="59"/>
      <x:c r="EN30" s="59"/>
      <x:c r="EO30" s="59"/>
      <x:c r="EP30" s="59"/>
      <x:c r="EQ30" s="59"/>
      <x:c r="ER30" s="59"/>
      <x:c r="ES30" s="59"/>
      <x:c r="ET30" s="59"/>
      <x:c r="EU30" s="59"/>
      <x:c r="EV30" s="59"/>
      <x:c r="EW30" s="59"/>
      <x:c r="EX30" s="59"/>
      <x:c r="EY30" s="59"/>
      <x:c r="EZ30" s="59"/>
      <x:c r="FA30" s="59"/>
      <x:c r="FB30" s="59"/>
      <x:c r="FC30" s="59"/>
      <x:c r="FD30" s="59"/>
      <x:c r="FE30" s="59"/>
      <x:c r="FF30" s="59"/>
      <x:c r="FG30" s="59"/>
      <x:c r="FH30" s="59"/>
      <x:c r="FI30" s="59"/>
      <x:c r="FJ30" s="59"/>
      <x:c r="FK30" s="59"/>
      <x:c r="FL30" s="59"/>
      <x:c r="FM30" s="59"/>
      <x:c r="FN30" s="59"/>
      <x:c r="FO30" s="59"/>
      <x:c r="FP30" s="59"/>
      <x:c r="FQ30" s="59"/>
      <x:c r="FR30" s="59"/>
      <x:c r="FS30" s="59"/>
      <x:c r="FT30" s="59"/>
      <x:c r="FU30" s="59"/>
      <x:c r="FV30" s="59"/>
      <x:c r="FW30" s="59"/>
      <x:c r="FX30" s="59"/>
      <x:c r="FY30" s="59"/>
      <x:c r="FZ30" s="59"/>
      <x:c r="GA30" s="59"/>
      <x:c r="GB30" s="59"/>
      <x:c r="GC30" s="59"/>
      <x:c r="GD30" s="59"/>
      <x:c r="GE30" s="59"/>
      <x:c r="GF30" s="59"/>
      <x:c r="GG30" s="59"/>
      <x:c r="GH30" s="59"/>
      <x:c r="GI30" s="59"/>
      <x:c r="GJ30" s="59"/>
      <x:c r="GK30" s="59"/>
      <x:c r="GL30" s="59"/>
      <x:c r="GM30" s="59"/>
      <x:c r="GN30" s="59"/>
      <x:c r="GO30" s="59"/>
      <x:c r="GP30" s="59"/>
      <x:c r="GQ30" s="59"/>
      <x:c r="GR30" s="59"/>
      <x:c r="GS30" s="59"/>
      <x:c r="GT30" s="59"/>
      <x:c r="GU30" s="59"/>
      <x:c r="GV30" s="59"/>
      <x:c r="GW30" s="59"/>
      <x:c r="GX30" s="59"/>
      <x:c r="GY30" s="59"/>
      <x:c r="GZ30" s="59"/>
      <x:c r="HA30" s="59"/>
      <x:c r="HB30" s="59"/>
      <x:c r="HC30" s="59"/>
      <x:c r="HD30" s="59"/>
      <x:c r="HE30" s="59"/>
      <x:c r="HF30" s="59"/>
      <x:c r="HG30" s="59"/>
      <x:c r="HH30" s="59"/>
      <x:c r="HI30" s="59"/>
      <x:c r="HJ30" s="59"/>
      <x:c r="HK30" s="59"/>
      <x:c r="HL30" s="59"/>
      <x:c r="HM30" s="59"/>
      <x:c r="HN30" s="59"/>
      <x:c r="HO30" s="59"/>
      <x:c r="HP30" s="59"/>
      <x:c r="HQ30" s="59"/>
      <x:c r="HR30" s="59"/>
      <x:c r="HS30" s="59"/>
      <x:c r="HT30" s="59"/>
      <x:c r="HU30" s="59"/>
      <x:c r="HV30" s="59"/>
      <x:c r="HW30" s="59"/>
      <x:c r="HX30" s="59"/>
      <x:c r="HY30" s="59"/>
      <x:c r="HZ30" s="59"/>
      <x:c r="IA30" s="59"/>
      <x:c r="IB30" s="59"/>
      <x:c r="IC30" s="59"/>
      <x:c r="ID30" s="59"/>
      <x:c r="IE30" s="59"/>
      <x:c r="IF30" s="59"/>
      <x:c r="IG30" s="59"/>
      <x:c r="IH30" s="59"/>
      <x:c r="II30" s="59"/>
      <x:c r="IJ30" s="59"/>
      <x:c r="IK30" s="59"/>
      <x:c r="IL30" s="59"/>
      <x:c r="IM30" s="59"/>
      <x:c r="IN30" s="59"/>
      <x:c r="IO30" s="59"/>
      <x:c r="IP30" s="59"/>
      <x:c r="IQ30" s="59"/>
      <x:c r="IR30" s="59"/>
      <x:c r="IS30" s="59"/>
      <x:c r="IT30" s="59"/>
      <x:c r="IU30" s="59"/>
      <x:c r="IV30" s="59"/>
      <x:c r="IW30" s="59"/>
      <x:c r="IX30" s="59"/>
      <x:c r="IY30" s="59"/>
      <x:c r="IZ30" s="59"/>
      <x:c r="JA30" s="59"/>
      <x:c r="JB30" s="59"/>
      <x:c r="JC30" s="59"/>
      <x:c r="JD30" s="59"/>
      <x:c r="JE30" s="59"/>
      <x:c r="JF30" s="59"/>
      <x:c r="JG30" s="59"/>
      <x:c r="JH30" s="59"/>
      <x:c r="JI30" s="59"/>
      <x:c r="JJ30" s="59"/>
      <x:c r="JK30" s="59"/>
      <x:c r="JL30" s="59"/>
      <x:c r="JM30" s="59"/>
      <x:c r="JN30" s="59"/>
      <x:c r="JO30" s="59"/>
      <x:c r="JP30" s="59"/>
      <x:c r="JQ30" s="59"/>
      <x:c r="JR30" s="59"/>
      <x:c r="JS30" s="59"/>
      <x:c r="JT30" s="59"/>
      <x:c r="JU30" s="59"/>
      <x:c r="JV30" s="59"/>
      <x:c r="JW30" s="59"/>
      <x:c r="JX30" s="59"/>
      <x:c r="JY30" s="59"/>
      <x:c r="JZ30" s="59"/>
      <x:c r="KA30" s="59"/>
      <x:c r="KB30" s="59"/>
      <x:c r="KC30" s="59"/>
      <x:c r="KD30" s="59"/>
      <x:c r="KE30" s="59"/>
      <x:c r="KF30" s="59"/>
      <x:c r="KG30" s="59"/>
      <x:c r="KH30" s="59"/>
      <x:c r="KI30" s="59"/>
      <x:c r="KJ30" s="59"/>
      <x:c r="KK30" s="59"/>
      <x:c r="KL30" s="59"/>
      <x:c r="KM30" s="59"/>
      <x:c r="KN30" s="59"/>
      <x:c r="KO30" s="59"/>
      <x:c r="KP30" s="59"/>
      <x:c r="KQ30" s="59"/>
      <x:c r="KR30" s="59"/>
      <x:c r="KS30" s="59"/>
      <x:c r="KT30" s="59"/>
      <x:c r="KU30" s="59"/>
      <x:c r="KV30" s="59"/>
      <x:c r="KW30" s="59"/>
      <x:c r="KX30" s="59"/>
      <x:c r="KY30" s="59"/>
      <x:c r="KZ30" s="59"/>
      <x:c r="LA30" s="59"/>
      <x:c r="LB30" s="59"/>
      <x:c r="LC30" s="59"/>
      <x:c r="LD30" s="59"/>
      <x:c r="LE30" s="59"/>
      <x:c r="LF30" s="59"/>
      <x:c r="LG30" s="59"/>
      <x:c r="LH30" s="59"/>
      <x:c r="LI30" s="59"/>
      <x:c r="LJ30" s="59"/>
      <x:c r="LK30" s="59"/>
      <x:c r="LL30" s="59"/>
      <x:c r="LM30" s="59"/>
      <x:c r="LN30" s="59"/>
      <x:c r="LO30" s="59"/>
      <x:c r="LP30" s="59"/>
      <x:c r="LQ30" s="59"/>
      <x:c r="LR30" s="59"/>
      <x:c r="LS30" s="59"/>
      <x:c r="LT30" s="59"/>
      <x:c r="LU30" s="59"/>
      <x:c r="LV30" s="59"/>
      <x:c r="LW30" s="59"/>
      <x:c r="LX30" s="59"/>
      <x:c r="LY30" s="59"/>
      <x:c r="LZ30" s="59"/>
      <x:c r="MA30" s="59"/>
      <x:c r="MB30" s="59"/>
      <x:c r="MC30" s="59"/>
      <x:c r="MD30" s="59"/>
      <x:c r="ME30" s="59"/>
      <x:c r="MF30" s="59"/>
      <x:c r="MG30" s="59"/>
      <x:c r="MH30" s="59"/>
      <x:c r="MI30" s="59"/>
      <x:c r="MJ30" s="59"/>
      <x:c r="MK30" s="59"/>
      <x:c r="ML30" s="59"/>
      <x:c r="MM30" s="59"/>
      <x:c r="MN30" s="59"/>
      <x:c r="MO30" s="59"/>
      <x:c r="MP30" s="59"/>
      <x:c r="MQ30" s="59"/>
      <x:c r="MR30" s="59"/>
      <x:c r="MS30" s="59"/>
      <x:c r="MT30" s="59"/>
      <x:c r="MU30" s="59"/>
      <x:c r="MV30" s="59"/>
      <x:c r="MW30" s="59"/>
      <x:c r="MX30" s="59"/>
      <x:c r="MY30" s="59"/>
      <x:c r="MZ30" s="59"/>
      <x:c r="NA30" s="59"/>
      <x:c r="NB30" s="59"/>
      <x:c r="NC30" s="59"/>
      <x:c r="ND30" s="59"/>
      <x:c r="NE30" s="59"/>
      <x:c r="NF30" s="59"/>
      <x:c r="NG30" s="59"/>
      <x:c r="NH30" s="59"/>
      <x:c r="NI30" s="59"/>
      <x:c r="NJ30" s="59"/>
      <x:c r="NK30" s="59"/>
      <x:c r="NL30" s="59"/>
      <x:c r="NM30" s="59"/>
      <x:c r="NN30" s="59"/>
      <x:c r="NO30" s="59"/>
      <x:c r="NP30" s="59"/>
      <x:c r="NQ30" s="59"/>
      <x:c r="NR30" s="59"/>
      <x:c r="NS30" s="59"/>
      <x:c r="NT30" s="59"/>
      <x:c r="NU30" s="59"/>
      <x:c r="NV30" s="59"/>
      <x:c r="NW30" s="59"/>
      <x:c r="NX30" s="59"/>
      <x:c r="NY30" s="59"/>
      <x:c r="NZ30" s="59"/>
      <x:c r="OA30" s="59"/>
      <x:c r="OB30" s="59"/>
      <x:c r="OC30" s="59"/>
      <x:c r="OD30" s="59"/>
      <x:c r="OE30" s="59"/>
      <x:c r="OF30" s="59"/>
      <x:c r="OG30" s="59"/>
      <x:c r="OH30" s="59"/>
      <x:c r="OI30" s="59"/>
      <x:c r="OJ30" s="59"/>
      <x:c r="OK30" s="59"/>
      <x:c r="OL30" s="59"/>
      <x:c r="OM30" s="59"/>
      <x:c r="ON30" s="59"/>
      <x:c r="OO30" s="59"/>
      <x:c r="OP30" s="59"/>
      <x:c r="OQ30" s="59"/>
      <x:c r="OR30" s="59"/>
      <x:c r="OS30" s="59"/>
      <x:c r="OT30" s="59"/>
      <x:c r="OU30" s="59"/>
      <x:c r="OV30" s="59"/>
      <x:c r="OW30" s="59"/>
      <x:c r="OX30" s="59"/>
      <x:c r="OY30" s="59"/>
      <x:c r="OZ30" s="59"/>
      <x:c r="PA30" s="59"/>
      <x:c r="PB30" s="59"/>
      <x:c r="PC30" s="59"/>
      <x:c r="PD30" s="59"/>
      <x:c r="PE30" s="59"/>
      <x:c r="PF30" s="59"/>
      <x:c r="PG30" s="59"/>
      <x:c r="PH30" s="59"/>
      <x:c r="PI30" s="59"/>
      <x:c r="PJ30" s="59"/>
      <x:c r="PK30" s="59"/>
      <x:c r="PL30" s="59"/>
      <x:c r="PM30" s="59"/>
      <x:c r="PN30" s="59"/>
      <x:c r="PO30" s="59"/>
      <x:c r="PP30" s="59"/>
      <x:c r="PQ30" s="59"/>
      <x:c r="PR30" s="59"/>
      <x:c r="PS30" s="59"/>
      <x:c r="PT30" s="59"/>
      <x:c r="PU30" s="59"/>
      <x:c r="PV30" s="59"/>
      <x:c r="PW30" s="59"/>
      <x:c r="PX30" s="59"/>
      <x:c r="PY30" s="59"/>
      <x:c r="PZ30" s="59"/>
      <x:c r="QA30" s="59"/>
      <x:c r="QB30" s="59"/>
      <x:c r="QC30" s="59"/>
      <x:c r="QD30" s="59"/>
      <x:c r="QE30" s="59"/>
      <x:c r="QF30" s="59"/>
      <x:c r="QG30" s="59"/>
      <x:c r="QH30" s="59"/>
      <x:c r="QI30" s="59"/>
      <x:c r="QJ30" s="59"/>
      <x:c r="QK30" s="59"/>
      <x:c r="QL30" s="59"/>
      <x:c r="QM30" s="59"/>
      <x:c r="QN30" s="59"/>
      <x:c r="QO30" s="59"/>
      <x:c r="QP30" s="59"/>
      <x:c r="QQ30" s="59"/>
      <x:c r="QR30" s="59"/>
      <x:c r="QS30" s="59"/>
      <x:c r="QT30" s="59"/>
      <x:c r="QU30" s="59"/>
      <x:c r="QV30" s="59"/>
      <x:c r="QW30" s="59"/>
      <x:c r="QX30" s="59"/>
      <x:c r="QY30" s="59"/>
      <x:c r="QZ30" s="59"/>
      <x:c r="RA30" s="59"/>
      <x:c r="RB30" s="59"/>
      <x:c r="RC30" s="59"/>
      <x:c r="RD30" s="59"/>
      <x:c r="RE30" s="59"/>
      <x:c r="RF30" s="59"/>
      <x:c r="RG30" s="59"/>
      <x:c r="RH30" s="59"/>
      <x:c r="RI30" s="59"/>
      <x:c r="RJ30" s="59"/>
      <x:c r="RK30" s="59"/>
      <x:c r="RL30" s="59"/>
      <x:c r="RM30" s="59"/>
      <x:c r="RN30" s="59"/>
      <x:c r="RO30" s="59"/>
      <x:c r="RP30" s="59"/>
      <x:c r="RQ30" s="59"/>
      <x:c r="RR30" s="59"/>
      <x:c r="RS30" s="59"/>
      <x:c r="RT30" s="59"/>
      <x:c r="RU30" s="59"/>
      <x:c r="RV30" s="59"/>
      <x:c r="RW30" s="59"/>
      <x:c r="RX30" s="59"/>
      <x:c r="RY30" s="59"/>
      <x:c r="RZ30" s="59"/>
      <x:c r="SA30" s="59"/>
      <x:c r="SB30" s="59"/>
      <x:c r="SC30" s="59"/>
      <x:c r="SD30" s="59"/>
      <x:c r="SE30" s="59"/>
      <x:c r="SF30" s="59"/>
    </x:row>
    <x:row r="31">
      <x:c r="A31" s="64" t="s">
        <x:v>50</x:v>
      </x:c>
      <x:c r="B31" s="65" t="s">
        <x:v>51</x:v>
      </x:c>
      <x:c r="C31" s="65"/>
      <x:c r="D31" s="65" t="s">
        <x:v>52</x:v>
      </x:c>
      <x:c r="E31" s="65"/>
      <x:c r="F31" s="65"/>
      <x:c r="G31" s="65" t="s">
        <x:v>53</x:v>
      </x:c>
      <x:c r="H31" s="65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  <x:c r="AA31" s="59"/>
      <x:c r="AB31" s="59"/>
      <x:c r="AC31" s="59"/>
      <x:c r="AD31" s="59"/>
      <x:c r="AE31" s="59"/>
      <x:c r="AF31" s="59"/>
      <x:c r="AG31" s="59"/>
      <x:c r="AH31" s="59"/>
      <x:c r="AI31" s="59"/>
      <x:c r="AJ31" s="59"/>
      <x:c r="AK31" s="59"/>
      <x:c r="AL31" s="59"/>
      <x:c r="AM31" s="59"/>
      <x:c r="AN31" s="59"/>
      <x:c r="AO31" s="59"/>
      <x:c r="AP31" s="59"/>
      <x:c r="AQ31" s="59"/>
      <x:c r="AR31" s="59"/>
      <x:c r="AS31" s="59"/>
      <x:c r="AT31" s="59"/>
      <x:c r="AU31" s="59"/>
      <x:c r="AV31" s="59"/>
      <x:c r="AW31" s="59"/>
      <x:c r="AX31" s="59"/>
      <x:c r="AY31" s="59"/>
      <x:c r="AZ31" s="59"/>
      <x:c r="BA31" s="59"/>
      <x:c r="BB31" s="59"/>
      <x:c r="BC31" s="59"/>
      <x:c r="BD31" s="59"/>
      <x:c r="BE31" s="59"/>
      <x:c r="BF31" s="59"/>
      <x:c r="BG31" s="59"/>
      <x:c r="BH31" s="59"/>
      <x:c r="BI31" s="59"/>
      <x:c r="BJ31" s="59"/>
      <x:c r="BK31" s="59"/>
      <x:c r="BL31" s="59"/>
      <x:c r="BM31" s="59"/>
      <x:c r="BN31" s="59"/>
      <x:c r="BO31" s="59"/>
      <x:c r="BP31" s="59"/>
      <x:c r="BQ31" s="59"/>
      <x:c r="BR31" s="59"/>
      <x:c r="BS31" s="59"/>
      <x:c r="BT31" s="59"/>
      <x:c r="BU31" s="59"/>
      <x:c r="BV31" s="59"/>
      <x:c r="BW31" s="59"/>
      <x:c r="BX31" s="59"/>
      <x:c r="BY31" s="59"/>
      <x:c r="BZ31" s="59"/>
      <x:c r="CA31" s="59"/>
      <x:c r="CB31" s="59"/>
      <x:c r="CC31" s="59"/>
      <x:c r="CD31" s="59"/>
      <x:c r="CE31" s="59"/>
      <x:c r="CF31" s="59"/>
      <x:c r="CG31" s="59"/>
      <x:c r="CH31" s="59"/>
      <x:c r="CI31" s="59"/>
      <x:c r="CJ31" s="59"/>
      <x:c r="CK31" s="59"/>
      <x:c r="CL31" s="59"/>
      <x:c r="CM31" s="59"/>
      <x:c r="CN31" s="59"/>
      <x:c r="CO31" s="59"/>
      <x:c r="CP31" s="59"/>
      <x:c r="CQ31" s="59"/>
      <x:c r="CR31" s="59"/>
      <x:c r="CS31" s="59"/>
      <x:c r="CT31" s="59"/>
      <x:c r="CU31" s="59"/>
      <x:c r="CV31" s="59"/>
      <x:c r="CW31" s="59"/>
      <x:c r="CX31" s="59"/>
      <x:c r="CY31" s="59"/>
      <x:c r="CZ31" s="59"/>
      <x:c r="DA31" s="59"/>
      <x:c r="DB31" s="59"/>
      <x:c r="DC31" s="59"/>
      <x:c r="DD31" s="59"/>
      <x:c r="DE31" s="59"/>
      <x:c r="DF31" s="59"/>
      <x:c r="DG31" s="59"/>
      <x:c r="DH31" s="59"/>
      <x:c r="DI31" s="59"/>
      <x:c r="DJ31" s="59"/>
      <x:c r="DK31" s="59"/>
      <x:c r="DL31" s="59"/>
      <x:c r="DM31" s="59"/>
      <x:c r="DN31" s="59"/>
      <x:c r="DO31" s="59"/>
      <x:c r="DP31" s="59"/>
      <x:c r="DQ31" s="59"/>
      <x:c r="DR31" s="59"/>
      <x:c r="DS31" s="59"/>
      <x:c r="DT31" s="59"/>
      <x:c r="DU31" s="59"/>
      <x:c r="DV31" s="59"/>
      <x:c r="DW31" s="59"/>
      <x:c r="DX31" s="59"/>
      <x:c r="DY31" s="59"/>
      <x:c r="DZ31" s="59"/>
      <x:c r="EA31" s="59"/>
      <x:c r="EB31" s="59"/>
      <x:c r="EC31" s="59"/>
      <x:c r="ED31" s="59"/>
      <x:c r="EE31" s="59"/>
      <x:c r="EF31" s="59"/>
      <x:c r="EG31" s="59"/>
      <x:c r="EH31" s="59"/>
      <x:c r="EI31" s="59"/>
      <x:c r="EJ31" s="59"/>
      <x:c r="EK31" s="59"/>
      <x:c r="EL31" s="59"/>
      <x:c r="EM31" s="59"/>
      <x:c r="EN31" s="59"/>
      <x:c r="EO31" s="59"/>
      <x:c r="EP31" s="59"/>
      <x:c r="EQ31" s="59"/>
      <x:c r="ER31" s="59"/>
      <x:c r="ES31" s="59"/>
      <x:c r="ET31" s="59"/>
      <x:c r="EU31" s="59"/>
      <x:c r="EV31" s="59"/>
      <x:c r="EW31" s="59"/>
      <x:c r="EX31" s="59"/>
      <x:c r="EY31" s="59"/>
      <x:c r="EZ31" s="59"/>
      <x:c r="FA31" s="59"/>
      <x:c r="FB31" s="59"/>
      <x:c r="FC31" s="59"/>
      <x:c r="FD31" s="59"/>
      <x:c r="FE31" s="59"/>
      <x:c r="FF31" s="59"/>
      <x:c r="FG31" s="59"/>
      <x:c r="FH31" s="59"/>
      <x:c r="FI31" s="59"/>
      <x:c r="FJ31" s="59"/>
      <x:c r="FK31" s="59"/>
      <x:c r="FL31" s="59"/>
      <x:c r="FM31" s="59"/>
      <x:c r="FN31" s="59"/>
      <x:c r="FO31" s="59"/>
      <x:c r="FP31" s="59"/>
      <x:c r="FQ31" s="59"/>
      <x:c r="FR31" s="59"/>
      <x:c r="FS31" s="59"/>
      <x:c r="FT31" s="59"/>
      <x:c r="FU31" s="59"/>
      <x:c r="FV31" s="59"/>
      <x:c r="FW31" s="59"/>
      <x:c r="FX31" s="59"/>
      <x:c r="FY31" s="59"/>
      <x:c r="FZ31" s="59"/>
      <x:c r="GA31" s="59"/>
      <x:c r="GB31" s="59"/>
      <x:c r="GC31" s="59"/>
      <x:c r="GD31" s="59"/>
      <x:c r="GE31" s="59"/>
      <x:c r="GF31" s="59"/>
      <x:c r="GG31" s="59"/>
      <x:c r="GH31" s="59"/>
      <x:c r="GI31" s="59"/>
      <x:c r="GJ31" s="59"/>
      <x:c r="GK31" s="59"/>
      <x:c r="GL31" s="59"/>
      <x:c r="GM31" s="59"/>
      <x:c r="GN31" s="59"/>
      <x:c r="GO31" s="59"/>
      <x:c r="GP31" s="59"/>
      <x:c r="GQ31" s="59"/>
      <x:c r="GR31" s="59"/>
      <x:c r="GS31" s="59"/>
      <x:c r="GT31" s="59"/>
      <x:c r="GU31" s="59"/>
      <x:c r="GV31" s="59"/>
      <x:c r="GW31" s="59"/>
      <x:c r="GX31" s="59"/>
      <x:c r="GY31" s="59"/>
      <x:c r="GZ31" s="59"/>
      <x:c r="HA31" s="59"/>
      <x:c r="HB31" s="59"/>
      <x:c r="HC31" s="59"/>
      <x:c r="HD31" s="59"/>
      <x:c r="HE31" s="59"/>
      <x:c r="HF31" s="59"/>
      <x:c r="HG31" s="59"/>
      <x:c r="HH31" s="59"/>
      <x:c r="HI31" s="59"/>
      <x:c r="HJ31" s="59"/>
      <x:c r="HK31" s="59"/>
      <x:c r="HL31" s="59"/>
      <x:c r="HM31" s="59"/>
      <x:c r="HN31" s="59"/>
      <x:c r="HO31" s="59"/>
      <x:c r="HP31" s="59"/>
      <x:c r="HQ31" s="59"/>
      <x:c r="HR31" s="59"/>
      <x:c r="HS31" s="59"/>
      <x:c r="HT31" s="59"/>
      <x:c r="HU31" s="59"/>
      <x:c r="HV31" s="59"/>
      <x:c r="HW31" s="59"/>
      <x:c r="HX31" s="59"/>
      <x:c r="HY31" s="59"/>
      <x:c r="HZ31" s="59"/>
      <x:c r="IA31" s="59"/>
      <x:c r="IB31" s="59"/>
      <x:c r="IC31" s="59"/>
      <x:c r="ID31" s="59"/>
      <x:c r="IE31" s="59"/>
      <x:c r="IF31" s="59"/>
      <x:c r="IG31" s="59"/>
      <x:c r="IH31" s="59"/>
      <x:c r="II31" s="59"/>
      <x:c r="IJ31" s="59"/>
      <x:c r="IK31" s="59"/>
      <x:c r="IL31" s="59"/>
      <x:c r="IM31" s="59"/>
      <x:c r="IN31" s="59"/>
      <x:c r="IO31" s="59"/>
      <x:c r="IP31" s="59"/>
      <x:c r="IQ31" s="59"/>
      <x:c r="IR31" s="59"/>
      <x:c r="IS31" s="59"/>
      <x:c r="IT31" s="59"/>
      <x:c r="IU31" s="59"/>
      <x:c r="IV31" s="59"/>
      <x:c r="IW31" s="59"/>
      <x:c r="IX31" s="59"/>
      <x:c r="IY31" s="59"/>
      <x:c r="IZ31" s="59"/>
      <x:c r="JA31" s="59"/>
      <x:c r="JB31" s="59"/>
      <x:c r="JC31" s="59"/>
      <x:c r="JD31" s="59"/>
      <x:c r="JE31" s="59"/>
      <x:c r="JF31" s="59"/>
      <x:c r="JG31" s="59"/>
      <x:c r="JH31" s="59"/>
      <x:c r="JI31" s="59"/>
      <x:c r="JJ31" s="59"/>
      <x:c r="JK31" s="59"/>
      <x:c r="JL31" s="59"/>
      <x:c r="JM31" s="59"/>
      <x:c r="JN31" s="59"/>
      <x:c r="JO31" s="59"/>
      <x:c r="JP31" s="59"/>
      <x:c r="JQ31" s="59"/>
      <x:c r="JR31" s="59"/>
      <x:c r="JS31" s="59"/>
      <x:c r="JT31" s="59"/>
      <x:c r="JU31" s="59"/>
      <x:c r="JV31" s="59"/>
      <x:c r="JW31" s="59"/>
      <x:c r="JX31" s="59"/>
      <x:c r="JY31" s="59"/>
      <x:c r="JZ31" s="59"/>
      <x:c r="KA31" s="59"/>
      <x:c r="KB31" s="59"/>
      <x:c r="KC31" s="59"/>
      <x:c r="KD31" s="59"/>
      <x:c r="KE31" s="59"/>
      <x:c r="KF31" s="59"/>
      <x:c r="KG31" s="59"/>
      <x:c r="KH31" s="59"/>
      <x:c r="KI31" s="59"/>
      <x:c r="KJ31" s="59"/>
      <x:c r="KK31" s="59"/>
      <x:c r="KL31" s="59"/>
      <x:c r="KM31" s="59"/>
      <x:c r="KN31" s="59"/>
      <x:c r="KO31" s="59"/>
      <x:c r="KP31" s="59"/>
      <x:c r="KQ31" s="59"/>
      <x:c r="KR31" s="59"/>
      <x:c r="KS31" s="59"/>
      <x:c r="KT31" s="59"/>
      <x:c r="KU31" s="59"/>
      <x:c r="KV31" s="59"/>
      <x:c r="KW31" s="59"/>
      <x:c r="KX31" s="59"/>
      <x:c r="KY31" s="59"/>
      <x:c r="KZ31" s="59"/>
      <x:c r="LA31" s="59"/>
      <x:c r="LB31" s="59"/>
      <x:c r="LC31" s="59"/>
      <x:c r="LD31" s="59"/>
      <x:c r="LE31" s="59"/>
      <x:c r="LF31" s="59"/>
      <x:c r="LG31" s="59"/>
      <x:c r="LH31" s="59"/>
      <x:c r="LI31" s="59"/>
      <x:c r="LJ31" s="59"/>
      <x:c r="LK31" s="59"/>
      <x:c r="LL31" s="59"/>
      <x:c r="LM31" s="59"/>
      <x:c r="LN31" s="59"/>
      <x:c r="LO31" s="59"/>
      <x:c r="LP31" s="59"/>
      <x:c r="LQ31" s="59"/>
      <x:c r="LR31" s="59"/>
      <x:c r="LS31" s="59"/>
      <x:c r="LT31" s="59"/>
      <x:c r="LU31" s="59"/>
      <x:c r="LV31" s="59"/>
      <x:c r="LW31" s="59"/>
      <x:c r="LX31" s="59"/>
      <x:c r="LY31" s="59"/>
      <x:c r="LZ31" s="59"/>
      <x:c r="MA31" s="59"/>
      <x:c r="MB31" s="59"/>
      <x:c r="MC31" s="59"/>
      <x:c r="MD31" s="59"/>
      <x:c r="ME31" s="59"/>
      <x:c r="MF31" s="59"/>
      <x:c r="MG31" s="59"/>
      <x:c r="MH31" s="59"/>
      <x:c r="MI31" s="59"/>
      <x:c r="MJ31" s="59"/>
      <x:c r="MK31" s="59"/>
      <x:c r="ML31" s="59"/>
      <x:c r="MM31" s="59"/>
      <x:c r="MN31" s="59"/>
      <x:c r="MO31" s="59"/>
      <x:c r="MP31" s="59"/>
      <x:c r="MQ31" s="59"/>
      <x:c r="MR31" s="59"/>
      <x:c r="MS31" s="59"/>
      <x:c r="MT31" s="59"/>
      <x:c r="MU31" s="59"/>
      <x:c r="MV31" s="59"/>
      <x:c r="MW31" s="59"/>
      <x:c r="MX31" s="59"/>
      <x:c r="MY31" s="59"/>
      <x:c r="MZ31" s="59"/>
      <x:c r="NA31" s="59"/>
      <x:c r="NB31" s="59"/>
      <x:c r="NC31" s="59"/>
      <x:c r="ND31" s="59"/>
      <x:c r="NE31" s="59"/>
      <x:c r="NF31" s="59"/>
      <x:c r="NG31" s="59"/>
      <x:c r="NH31" s="59"/>
      <x:c r="NI31" s="59"/>
      <x:c r="NJ31" s="59"/>
      <x:c r="NK31" s="59"/>
      <x:c r="NL31" s="59"/>
      <x:c r="NM31" s="59"/>
      <x:c r="NN31" s="59"/>
      <x:c r="NO31" s="59"/>
      <x:c r="NP31" s="59"/>
      <x:c r="NQ31" s="59"/>
      <x:c r="NR31" s="59"/>
      <x:c r="NS31" s="59"/>
      <x:c r="NT31" s="59"/>
      <x:c r="NU31" s="59"/>
      <x:c r="NV31" s="59"/>
      <x:c r="NW31" s="59"/>
      <x:c r="NX31" s="59"/>
      <x:c r="NY31" s="59"/>
      <x:c r="NZ31" s="59"/>
      <x:c r="OA31" s="59"/>
      <x:c r="OB31" s="59"/>
      <x:c r="OC31" s="59"/>
      <x:c r="OD31" s="59"/>
      <x:c r="OE31" s="59"/>
      <x:c r="OF31" s="59"/>
      <x:c r="OG31" s="59"/>
      <x:c r="OH31" s="59"/>
      <x:c r="OI31" s="59"/>
      <x:c r="OJ31" s="59"/>
      <x:c r="OK31" s="59"/>
      <x:c r="OL31" s="59"/>
      <x:c r="OM31" s="59"/>
      <x:c r="ON31" s="59"/>
      <x:c r="OO31" s="59"/>
      <x:c r="OP31" s="59"/>
      <x:c r="OQ31" s="59"/>
      <x:c r="OR31" s="59"/>
      <x:c r="OS31" s="59"/>
      <x:c r="OT31" s="59"/>
      <x:c r="OU31" s="59"/>
      <x:c r="OV31" s="59"/>
      <x:c r="OW31" s="59"/>
      <x:c r="OX31" s="59"/>
      <x:c r="OY31" s="59"/>
      <x:c r="OZ31" s="59"/>
      <x:c r="PA31" s="59"/>
      <x:c r="PB31" s="59"/>
      <x:c r="PC31" s="59"/>
      <x:c r="PD31" s="59"/>
      <x:c r="PE31" s="59"/>
      <x:c r="PF31" s="59"/>
      <x:c r="PG31" s="59"/>
      <x:c r="PH31" s="59"/>
      <x:c r="PI31" s="59"/>
      <x:c r="PJ31" s="59"/>
      <x:c r="PK31" s="59"/>
      <x:c r="PL31" s="59"/>
      <x:c r="PM31" s="59"/>
      <x:c r="PN31" s="59"/>
      <x:c r="PO31" s="59"/>
      <x:c r="PP31" s="59"/>
      <x:c r="PQ31" s="59"/>
      <x:c r="PR31" s="59"/>
      <x:c r="PS31" s="59"/>
      <x:c r="PT31" s="59"/>
      <x:c r="PU31" s="59"/>
      <x:c r="PV31" s="59"/>
      <x:c r="PW31" s="59"/>
      <x:c r="PX31" s="59"/>
      <x:c r="PY31" s="59"/>
      <x:c r="PZ31" s="59"/>
      <x:c r="QA31" s="59"/>
      <x:c r="QB31" s="59"/>
      <x:c r="QC31" s="59"/>
      <x:c r="QD31" s="59"/>
      <x:c r="QE31" s="59"/>
      <x:c r="QF31" s="59"/>
      <x:c r="QG31" s="59"/>
      <x:c r="QH31" s="59"/>
      <x:c r="QI31" s="59"/>
      <x:c r="QJ31" s="59"/>
      <x:c r="QK31" s="59"/>
      <x:c r="QL31" s="59"/>
      <x:c r="QM31" s="59"/>
      <x:c r="QN31" s="59"/>
      <x:c r="QO31" s="59"/>
      <x:c r="QP31" s="59"/>
      <x:c r="QQ31" s="59"/>
      <x:c r="QR31" s="59"/>
      <x:c r="QS31" s="59"/>
      <x:c r="QT31" s="59"/>
      <x:c r="QU31" s="59"/>
      <x:c r="QV31" s="59"/>
      <x:c r="QW31" s="59"/>
      <x:c r="QX31" s="59"/>
      <x:c r="QY31" s="59"/>
      <x:c r="QZ31" s="59"/>
      <x:c r="RA31" s="59"/>
      <x:c r="RB31" s="59"/>
      <x:c r="RC31" s="59"/>
      <x:c r="RD31" s="59"/>
      <x:c r="RE31" s="59"/>
      <x:c r="RF31" s="59"/>
      <x:c r="RG31" s="59"/>
      <x:c r="RH31" s="59"/>
      <x:c r="RI31" s="59"/>
      <x:c r="RJ31" s="59"/>
      <x:c r="RK31" s="59"/>
      <x:c r="RL31" s="59"/>
      <x:c r="RM31" s="59"/>
      <x:c r="RN31" s="59"/>
      <x:c r="RO31" s="59"/>
      <x:c r="RP31" s="59"/>
      <x:c r="RQ31" s="59"/>
      <x:c r="RR31" s="59"/>
      <x:c r="RS31" s="59"/>
      <x:c r="RT31" s="59"/>
      <x:c r="RU31" s="59"/>
      <x:c r="RV31" s="59"/>
      <x:c r="RW31" s="59"/>
      <x:c r="RX31" s="59"/>
      <x:c r="RY31" s="59"/>
      <x:c r="RZ31" s="59"/>
      <x:c r="SA31" s="59"/>
      <x:c r="SB31" s="59"/>
      <x:c r="SC31" s="59"/>
      <x:c r="SD31" s="59"/>
      <x:c r="SE31" s="59"/>
      <x:c r="SF31" s="59"/>
    </x:row>
    <x:row r="32">
      <x:c r="A32" s="61" t="s">
        <x:v>54</x:v>
      </x:c>
      <x:c r="B32" s="66" t="s">
        <x:v>55</x:v>
      </x:c>
      <x:c r="C32" s="66"/>
      <x:c r="D32" s="63" t="s">
        <x:v>56</x:v>
      </x:c>
      <x:c r="E32" s="63"/>
      <x:c r="F32" s="63"/>
      <x:c r="G32" s="63" t="str">
        <x:v>Example: Jordan Ellis</x:v>
      </x:c>
      <x:c r="H32" s="63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  <x:c r="AA32" s="59"/>
      <x:c r="AB32" s="59"/>
      <x:c r="AC32" s="59"/>
      <x:c r="AD32" s="59"/>
      <x:c r="AE32" s="59"/>
      <x:c r="AF32" s="59"/>
      <x:c r="AG32" s="59"/>
      <x:c r="AH32" s="59"/>
      <x:c r="AI32" s="59"/>
      <x:c r="AJ32" s="59"/>
      <x:c r="AK32" s="59"/>
      <x:c r="AL32" s="59"/>
      <x:c r="AM32" s="59"/>
      <x:c r="AN32" s="59"/>
      <x:c r="AO32" s="59"/>
      <x:c r="AP32" s="59"/>
      <x:c r="AQ32" s="59"/>
      <x:c r="AR32" s="59"/>
      <x:c r="AS32" s="59"/>
      <x:c r="AT32" s="59"/>
      <x:c r="AU32" s="59"/>
      <x:c r="AV32" s="59"/>
      <x:c r="AW32" s="59"/>
      <x:c r="AX32" s="59"/>
      <x:c r="AY32" s="59"/>
      <x:c r="AZ32" s="59"/>
      <x:c r="BA32" s="59"/>
      <x:c r="BB32" s="59"/>
      <x:c r="BC32" s="59"/>
      <x:c r="BD32" s="59"/>
      <x:c r="BE32" s="59"/>
      <x:c r="BF32" s="59"/>
      <x:c r="BG32" s="59"/>
      <x:c r="BH32" s="59"/>
      <x:c r="BI32" s="59"/>
      <x:c r="BJ32" s="59"/>
      <x:c r="BK32" s="59"/>
      <x:c r="BL32" s="59"/>
      <x:c r="BM32" s="59"/>
      <x:c r="BN32" s="59"/>
      <x:c r="BO32" s="59"/>
      <x:c r="BP32" s="59"/>
      <x:c r="BQ32" s="59"/>
      <x:c r="BR32" s="59"/>
      <x:c r="BS32" s="59"/>
      <x:c r="BT32" s="59"/>
      <x:c r="BU32" s="59"/>
      <x:c r="BV32" s="59"/>
      <x:c r="BW32" s="59"/>
      <x:c r="BX32" s="59"/>
      <x:c r="BY32" s="59"/>
      <x:c r="BZ32" s="59"/>
      <x:c r="CA32" s="59"/>
      <x:c r="CB32" s="59"/>
      <x:c r="CC32" s="59"/>
      <x:c r="CD32" s="59"/>
      <x:c r="CE32" s="59"/>
      <x:c r="CF32" s="59"/>
      <x:c r="CG32" s="59"/>
      <x:c r="CH32" s="59"/>
      <x:c r="CI32" s="59"/>
      <x:c r="CJ32" s="59"/>
      <x:c r="CK32" s="59"/>
      <x:c r="CL32" s="59"/>
      <x:c r="CM32" s="59"/>
      <x:c r="CN32" s="59"/>
      <x:c r="CO32" s="59"/>
      <x:c r="CP32" s="59"/>
      <x:c r="CQ32" s="59"/>
      <x:c r="CR32" s="59"/>
      <x:c r="CS32" s="59"/>
      <x:c r="CT32" s="59"/>
      <x:c r="CU32" s="59"/>
      <x:c r="CV32" s="59"/>
      <x:c r="CW32" s="59"/>
      <x:c r="CX32" s="59"/>
      <x:c r="CY32" s="59"/>
      <x:c r="CZ32" s="59"/>
      <x:c r="DA32" s="59"/>
      <x:c r="DB32" s="59"/>
      <x:c r="DC32" s="59"/>
      <x:c r="DD32" s="59"/>
      <x:c r="DE32" s="59"/>
      <x:c r="DF32" s="59"/>
      <x:c r="DG32" s="59"/>
      <x:c r="DH32" s="59"/>
      <x:c r="DI32" s="59"/>
      <x:c r="DJ32" s="59"/>
      <x:c r="DK32" s="59"/>
      <x:c r="DL32" s="59"/>
      <x:c r="DM32" s="59"/>
      <x:c r="DN32" s="59"/>
      <x:c r="DO32" s="59"/>
      <x:c r="DP32" s="59"/>
      <x:c r="DQ32" s="59"/>
      <x:c r="DR32" s="59"/>
      <x:c r="DS32" s="59"/>
      <x:c r="DT32" s="59"/>
      <x:c r="DU32" s="59"/>
      <x:c r="DV32" s="59"/>
      <x:c r="DW32" s="59"/>
      <x:c r="DX32" s="59"/>
      <x:c r="DY32" s="59"/>
      <x:c r="DZ32" s="59"/>
      <x:c r="EA32" s="59"/>
      <x:c r="EB32" s="59"/>
      <x:c r="EC32" s="59"/>
      <x:c r="ED32" s="59"/>
      <x:c r="EE32" s="59"/>
      <x:c r="EF32" s="59"/>
      <x:c r="EG32" s="59"/>
      <x:c r="EH32" s="59"/>
      <x:c r="EI32" s="59"/>
      <x:c r="EJ32" s="59"/>
      <x:c r="EK32" s="59"/>
      <x:c r="EL32" s="59"/>
      <x:c r="EM32" s="59"/>
      <x:c r="EN32" s="59"/>
      <x:c r="EO32" s="59"/>
      <x:c r="EP32" s="59"/>
      <x:c r="EQ32" s="59"/>
      <x:c r="ER32" s="59"/>
      <x:c r="ES32" s="59"/>
      <x:c r="ET32" s="59"/>
      <x:c r="EU32" s="59"/>
      <x:c r="EV32" s="59"/>
      <x:c r="EW32" s="59"/>
      <x:c r="EX32" s="59"/>
      <x:c r="EY32" s="59"/>
      <x:c r="EZ32" s="59"/>
      <x:c r="FA32" s="59"/>
      <x:c r="FB32" s="59"/>
      <x:c r="FC32" s="59"/>
      <x:c r="FD32" s="59"/>
      <x:c r="FE32" s="59"/>
      <x:c r="FF32" s="59"/>
      <x:c r="FG32" s="59"/>
      <x:c r="FH32" s="59"/>
      <x:c r="FI32" s="59"/>
      <x:c r="FJ32" s="59"/>
      <x:c r="FK32" s="59"/>
      <x:c r="FL32" s="59"/>
      <x:c r="FM32" s="59"/>
      <x:c r="FN32" s="59"/>
      <x:c r="FO32" s="59"/>
      <x:c r="FP32" s="59"/>
      <x:c r="FQ32" s="59"/>
      <x:c r="FR32" s="59"/>
      <x:c r="FS32" s="59"/>
      <x:c r="FT32" s="59"/>
      <x:c r="FU32" s="59"/>
      <x:c r="FV32" s="59"/>
      <x:c r="FW32" s="59"/>
      <x:c r="FX32" s="59"/>
      <x:c r="FY32" s="59"/>
      <x:c r="FZ32" s="59"/>
      <x:c r="GA32" s="59"/>
      <x:c r="GB32" s="59"/>
      <x:c r="GC32" s="59"/>
      <x:c r="GD32" s="59"/>
      <x:c r="GE32" s="59"/>
      <x:c r="GF32" s="59"/>
      <x:c r="GG32" s="59"/>
      <x:c r="GH32" s="59"/>
      <x:c r="GI32" s="59"/>
      <x:c r="GJ32" s="59"/>
      <x:c r="GK32" s="59"/>
      <x:c r="GL32" s="59"/>
      <x:c r="GM32" s="59"/>
      <x:c r="GN32" s="59"/>
      <x:c r="GO32" s="59"/>
      <x:c r="GP32" s="59"/>
      <x:c r="GQ32" s="59"/>
      <x:c r="GR32" s="59"/>
      <x:c r="GS32" s="59"/>
      <x:c r="GT32" s="59"/>
      <x:c r="GU32" s="59"/>
      <x:c r="GV32" s="59"/>
      <x:c r="GW32" s="59"/>
      <x:c r="GX32" s="59"/>
      <x:c r="GY32" s="59"/>
      <x:c r="GZ32" s="59"/>
      <x:c r="HA32" s="59"/>
      <x:c r="HB32" s="59"/>
      <x:c r="HC32" s="59"/>
      <x:c r="HD32" s="59"/>
      <x:c r="HE32" s="59"/>
      <x:c r="HF32" s="59"/>
      <x:c r="HG32" s="59"/>
      <x:c r="HH32" s="59"/>
      <x:c r="HI32" s="59"/>
      <x:c r="HJ32" s="59"/>
      <x:c r="HK32" s="59"/>
      <x:c r="HL32" s="59"/>
      <x:c r="HM32" s="59"/>
      <x:c r="HN32" s="59"/>
      <x:c r="HO32" s="59"/>
      <x:c r="HP32" s="59"/>
      <x:c r="HQ32" s="59"/>
      <x:c r="HR32" s="59"/>
      <x:c r="HS32" s="59"/>
      <x:c r="HT32" s="59"/>
      <x:c r="HU32" s="59"/>
      <x:c r="HV32" s="59"/>
      <x:c r="HW32" s="59"/>
      <x:c r="HX32" s="59"/>
      <x:c r="HY32" s="59"/>
      <x:c r="HZ32" s="59"/>
      <x:c r="IA32" s="59"/>
      <x:c r="IB32" s="59"/>
      <x:c r="IC32" s="59"/>
      <x:c r="ID32" s="59"/>
      <x:c r="IE32" s="59"/>
      <x:c r="IF32" s="59"/>
      <x:c r="IG32" s="59"/>
      <x:c r="IH32" s="59"/>
      <x:c r="II32" s="59"/>
      <x:c r="IJ32" s="59"/>
      <x:c r="IK32" s="59"/>
      <x:c r="IL32" s="59"/>
      <x:c r="IM32" s="59"/>
      <x:c r="IN32" s="59"/>
      <x:c r="IO32" s="59"/>
      <x:c r="IP32" s="59"/>
      <x:c r="IQ32" s="59"/>
      <x:c r="IR32" s="59"/>
      <x:c r="IS32" s="59"/>
      <x:c r="IT32" s="59"/>
      <x:c r="IU32" s="59"/>
      <x:c r="IV32" s="59"/>
      <x:c r="IW32" s="59"/>
      <x:c r="IX32" s="59"/>
      <x:c r="IY32" s="59"/>
      <x:c r="IZ32" s="59"/>
      <x:c r="JA32" s="59"/>
      <x:c r="JB32" s="59"/>
      <x:c r="JC32" s="59"/>
      <x:c r="JD32" s="59"/>
      <x:c r="JE32" s="59"/>
      <x:c r="JF32" s="59"/>
      <x:c r="JG32" s="59"/>
      <x:c r="JH32" s="59"/>
      <x:c r="JI32" s="59"/>
      <x:c r="JJ32" s="59"/>
      <x:c r="JK32" s="59"/>
      <x:c r="JL32" s="59"/>
      <x:c r="JM32" s="59"/>
      <x:c r="JN32" s="59"/>
      <x:c r="JO32" s="59"/>
      <x:c r="JP32" s="59"/>
      <x:c r="JQ32" s="59"/>
      <x:c r="JR32" s="59"/>
      <x:c r="JS32" s="59"/>
      <x:c r="JT32" s="59"/>
      <x:c r="JU32" s="59"/>
      <x:c r="JV32" s="59"/>
      <x:c r="JW32" s="59"/>
      <x:c r="JX32" s="59"/>
      <x:c r="JY32" s="59"/>
      <x:c r="JZ32" s="59"/>
      <x:c r="KA32" s="59"/>
      <x:c r="KB32" s="59"/>
      <x:c r="KC32" s="59"/>
      <x:c r="KD32" s="59"/>
      <x:c r="KE32" s="59"/>
      <x:c r="KF32" s="59"/>
      <x:c r="KG32" s="59"/>
      <x:c r="KH32" s="59"/>
      <x:c r="KI32" s="59"/>
      <x:c r="KJ32" s="59"/>
      <x:c r="KK32" s="59"/>
      <x:c r="KL32" s="59"/>
      <x:c r="KM32" s="59"/>
      <x:c r="KN32" s="59"/>
      <x:c r="KO32" s="59"/>
      <x:c r="KP32" s="59"/>
      <x:c r="KQ32" s="59"/>
      <x:c r="KR32" s="59"/>
      <x:c r="KS32" s="59"/>
      <x:c r="KT32" s="59"/>
      <x:c r="KU32" s="59"/>
      <x:c r="KV32" s="59"/>
      <x:c r="KW32" s="59"/>
      <x:c r="KX32" s="59"/>
      <x:c r="KY32" s="59"/>
      <x:c r="KZ32" s="59"/>
      <x:c r="LA32" s="59"/>
      <x:c r="LB32" s="59"/>
      <x:c r="LC32" s="59"/>
      <x:c r="LD32" s="59"/>
      <x:c r="LE32" s="59"/>
      <x:c r="LF32" s="59"/>
      <x:c r="LG32" s="59"/>
      <x:c r="LH32" s="59"/>
      <x:c r="LI32" s="59"/>
      <x:c r="LJ32" s="59"/>
      <x:c r="LK32" s="59"/>
      <x:c r="LL32" s="59"/>
      <x:c r="LM32" s="59"/>
      <x:c r="LN32" s="59"/>
      <x:c r="LO32" s="59"/>
      <x:c r="LP32" s="59"/>
      <x:c r="LQ32" s="59"/>
      <x:c r="LR32" s="59"/>
      <x:c r="LS32" s="59"/>
      <x:c r="LT32" s="59"/>
      <x:c r="LU32" s="59"/>
      <x:c r="LV32" s="59"/>
      <x:c r="LW32" s="59"/>
      <x:c r="LX32" s="59"/>
      <x:c r="LY32" s="59"/>
      <x:c r="LZ32" s="59"/>
      <x:c r="MA32" s="59"/>
      <x:c r="MB32" s="59"/>
      <x:c r="MC32" s="59"/>
      <x:c r="MD32" s="59"/>
      <x:c r="ME32" s="59"/>
      <x:c r="MF32" s="59"/>
      <x:c r="MG32" s="59"/>
      <x:c r="MH32" s="59"/>
      <x:c r="MI32" s="59"/>
      <x:c r="MJ32" s="59"/>
      <x:c r="MK32" s="59"/>
      <x:c r="ML32" s="59"/>
      <x:c r="MM32" s="59"/>
      <x:c r="MN32" s="59"/>
      <x:c r="MO32" s="59"/>
      <x:c r="MP32" s="59"/>
      <x:c r="MQ32" s="59"/>
      <x:c r="MR32" s="59"/>
      <x:c r="MS32" s="59"/>
      <x:c r="MT32" s="59"/>
      <x:c r="MU32" s="59"/>
      <x:c r="MV32" s="59"/>
      <x:c r="MW32" s="59"/>
      <x:c r="MX32" s="59"/>
      <x:c r="MY32" s="59"/>
      <x:c r="MZ32" s="59"/>
      <x:c r="NA32" s="59"/>
      <x:c r="NB32" s="59"/>
      <x:c r="NC32" s="59"/>
      <x:c r="ND32" s="59"/>
      <x:c r="NE32" s="59"/>
      <x:c r="NF32" s="59"/>
      <x:c r="NG32" s="59"/>
      <x:c r="NH32" s="59"/>
      <x:c r="NI32" s="59"/>
      <x:c r="NJ32" s="59"/>
      <x:c r="NK32" s="59"/>
      <x:c r="NL32" s="59"/>
      <x:c r="NM32" s="59"/>
      <x:c r="NN32" s="59"/>
      <x:c r="NO32" s="59"/>
      <x:c r="NP32" s="59"/>
      <x:c r="NQ32" s="59"/>
      <x:c r="NR32" s="59"/>
      <x:c r="NS32" s="59"/>
      <x:c r="NT32" s="59"/>
      <x:c r="NU32" s="59"/>
      <x:c r="NV32" s="59"/>
      <x:c r="NW32" s="59"/>
      <x:c r="NX32" s="59"/>
      <x:c r="NY32" s="59"/>
      <x:c r="NZ32" s="59"/>
      <x:c r="OA32" s="59"/>
      <x:c r="OB32" s="59"/>
      <x:c r="OC32" s="59"/>
      <x:c r="OD32" s="59"/>
      <x:c r="OE32" s="59"/>
      <x:c r="OF32" s="59"/>
      <x:c r="OG32" s="59"/>
      <x:c r="OH32" s="59"/>
      <x:c r="OI32" s="59"/>
      <x:c r="OJ32" s="59"/>
      <x:c r="OK32" s="59"/>
      <x:c r="OL32" s="59"/>
      <x:c r="OM32" s="59"/>
      <x:c r="ON32" s="59"/>
      <x:c r="OO32" s="59"/>
      <x:c r="OP32" s="59"/>
      <x:c r="OQ32" s="59"/>
      <x:c r="OR32" s="59"/>
      <x:c r="OS32" s="59"/>
      <x:c r="OT32" s="59"/>
      <x:c r="OU32" s="59"/>
      <x:c r="OV32" s="59"/>
      <x:c r="OW32" s="59"/>
      <x:c r="OX32" s="59"/>
      <x:c r="OY32" s="59"/>
      <x:c r="OZ32" s="59"/>
      <x:c r="PA32" s="59"/>
      <x:c r="PB32" s="59"/>
      <x:c r="PC32" s="59"/>
      <x:c r="PD32" s="59"/>
      <x:c r="PE32" s="59"/>
      <x:c r="PF32" s="59"/>
      <x:c r="PG32" s="59"/>
      <x:c r="PH32" s="59"/>
      <x:c r="PI32" s="59"/>
      <x:c r="PJ32" s="59"/>
      <x:c r="PK32" s="59"/>
      <x:c r="PL32" s="59"/>
      <x:c r="PM32" s="59"/>
      <x:c r="PN32" s="59"/>
      <x:c r="PO32" s="59"/>
      <x:c r="PP32" s="59"/>
      <x:c r="PQ32" s="59"/>
      <x:c r="PR32" s="59"/>
      <x:c r="PS32" s="59"/>
      <x:c r="PT32" s="59"/>
      <x:c r="PU32" s="59"/>
      <x:c r="PV32" s="59"/>
      <x:c r="PW32" s="59"/>
      <x:c r="PX32" s="59"/>
      <x:c r="PY32" s="59"/>
      <x:c r="PZ32" s="59"/>
      <x:c r="QA32" s="59"/>
      <x:c r="QB32" s="59"/>
      <x:c r="QC32" s="59"/>
      <x:c r="QD32" s="59"/>
      <x:c r="QE32" s="59"/>
      <x:c r="QF32" s="59"/>
      <x:c r="QG32" s="59"/>
      <x:c r="QH32" s="59"/>
      <x:c r="QI32" s="59"/>
      <x:c r="QJ32" s="59"/>
      <x:c r="QK32" s="59"/>
      <x:c r="QL32" s="59"/>
      <x:c r="QM32" s="59"/>
      <x:c r="QN32" s="59"/>
      <x:c r="QO32" s="59"/>
      <x:c r="QP32" s="59"/>
      <x:c r="QQ32" s="59"/>
      <x:c r="QR32" s="59"/>
      <x:c r="QS32" s="59"/>
      <x:c r="QT32" s="59"/>
      <x:c r="QU32" s="59"/>
      <x:c r="QV32" s="59"/>
      <x:c r="QW32" s="59"/>
      <x:c r="QX32" s="59"/>
      <x:c r="QY32" s="59"/>
      <x:c r="QZ32" s="59"/>
      <x:c r="RA32" s="59"/>
      <x:c r="RB32" s="59"/>
      <x:c r="RC32" s="59"/>
      <x:c r="RD32" s="59"/>
      <x:c r="RE32" s="59"/>
      <x:c r="RF32" s="59"/>
      <x:c r="RG32" s="59"/>
      <x:c r="RH32" s="59"/>
      <x:c r="RI32" s="59"/>
      <x:c r="RJ32" s="59"/>
      <x:c r="RK32" s="59"/>
      <x:c r="RL32" s="59"/>
      <x:c r="RM32" s="59"/>
      <x:c r="RN32" s="59"/>
      <x:c r="RO32" s="59"/>
      <x:c r="RP32" s="59"/>
      <x:c r="RQ32" s="59"/>
      <x:c r="RR32" s="59"/>
      <x:c r="RS32" s="59"/>
      <x:c r="RT32" s="59"/>
      <x:c r="RU32" s="59"/>
      <x:c r="RV32" s="59"/>
      <x:c r="RW32" s="59"/>
      <x:c r="RX32" s="59"/>
      <x:c r="RY32" s="59"/>
      <x:c r="RZ32" s="59"/>
      <x:c r="SA32" s="59"/>
      <x:c r="SB32" s="59"/>
      <x:c r="SC32" s="59"/>
      <x:c r="SD32" s="59"/>
      <x:c r="SE32" s="59"/>
      <x:c r="SF32" s="59"/>
    </x:row>
    <x:row r="33">
      <x:c r="A33" s="61" t="s">
        <x:v>57</x:v>
      </x:c>
      <x:c r="B33" s="66" t="s">
        <x:v>58</x:v>
      </x:c>
      <x:c r="C33" s="66"/>
      <x:c r="D33" s="63" t="s">
        <x:v>59</x:v>
      </x:c>
      <x:c r="E33" s="63"/>
      <x:c r="F33" s="63"/>
      <x:c r="G33" s="63" t="str">
        <x:v>Example: Client Services Specialist</x:v>
      </x:c>
      <x:c r="H33" s="63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  <x:c r="AA33" s="59"/>
      <x:c r="AB33" s="59"/>
      <x:c r="AC33" s="59"/>
      <x:c r="AD33" s="59"/>
      <x:c r="AE33" s="59"/>
      <x:c r="AF33" s="59"/>
      <x:c r="AG33" s="59"/>
      <x:c r="AH33" s="59"/>
      <x:c r="AI33" s="59"/>
      <x:c r="AJ33" s="59"/>
      <x:c r="AK33" s="59"/>
      <x:c r="AL33" s="59"/>
      <x:c r="AM33" s="59"/>
      <x:c r="AN33" s="59"/>
      <x:c r="AO33" s="59"/>
      <x:c r="AP33" s="59"/>
      <x:c r="AQ33" s="59"/>
      <x:c r="AR33" s="59"/>
      <x:c r="AS33" s="59"/>
      <x:c r="AT33" s="59"/>
      <x:c r="AU33" s="59"/>
      <x:c r="AV33" s="59"/>
      <x:c r="AW33" s="59"/>
      <x:c r="AX33" s="59"/>
      <x:c r="AY33" s="59"/>
      <x:c r="AZ33" s="59"/>
      <x:c r="BA33" s="59"/>
      <x:c r="BB33" s="59"/>
      <x:c r="BC33" s="59"/>
      <x:c r="BD33" s="59"/>
      <x:c r="BE33" s="59"/>
      <x:c r="BF33" s="59"/>
      <x:c r="BG33" s="59"/>
      <x:c r="BH33" s="59"/>
      <x:c r="BI33" s="59"/>
      <x:c r="BJ33" s="59"/>
      <x:c r="BK33" s="59"/>
      <x:c r="BL33" s="59"/>
      <x:c r="BM33" s="59"/>
      <x:c r="BN33" s="59"/>
      <x:c r="BO33" s="59"/>
      <x:c r="BP33" s="59"/>
      <x:c r="BQ33" s="59"/>
      <x:c r="BR33" s="59"/>
      <x:c r="BS33" s="59"/>
      <x:c r="BT33" s="59"/>
      <x:c r="BU33" s="59"/>
      <x:c r="BV33" s="59"/>
      <x:c r="BW33" s="59"/>
      <x:c r="BX33" s="59"/>
      <x:c r="BY33" s="59"/>
      <x:c r="BZ33" s="59"/>
      <x:c r="CA33" s="59"/>
      <x:c r="CB33" s="59"/>
      <x:c r="CC33" s="59"/>
      <x:c r="CD33" s="59"/>
      <x:c r="CE33" s="59"/>
      <x:c r="CF33" s="59"/>
      <x:c r="CG33" s="59"/>
      <x:c r="CH33" s="59"/>
      <x:c r="CI33" s="59"/>
      <x:c r="CJ33" s="59"/>
      <x:c r="CK33" s="59"/>
      <x:c r="CL33" s="59"/>
      <x:c r="CM33" s="59"/>
      <x:c r="CN33" s="59"/>
      <x:c r="CO33" s="59"/>
      <x:c r="CP33" s="59"/>
      <x:c r="CQ33" s="59"/>
      <x:c r="CR33" s="59"/>
      <x:c r="CS33" s="59"/>
      <x:c r="CT33" s="59"/>
      <x:c r="CU33" s="59"/>
      <x:c r="CV33" s="59"/>
      <x:c r="CW33" s="59"/>
      <x:c r="CX33" s="59"/>
      <x:c r="CY33" s="59"/>
      <x:c r="CZ33" s="59"/>
      <x:c r="DA33" s="59"/>
      <x:c r="DB33" s="59"/>
      <x:c r="DC33" s="59"/>
      <x:c r="DD33" s="59"/>
      <x:c r="DE33" s="59"/>
      <x:c r="DF33" s="59"/>
      <x:c r="DG33" s="59"/>
      <x:c r="DH33" s="59"/>
      <x:c r="DI33" s="59"/>
      <x:c r="DJ33" s="59"/>
      <x:c r="DK33" s="59"/>
      <x:c r="DL33" s="59"/>
      <x:c r="DM33" s="59"/>
      <x:c r="DN33" s="59"/>
      <x:c r="DO33" s="59"/>
      <x:c r="DP33" s="59"/>
      <x:c r="DQ33" s="59"/>
      <x:c r="DR33" s="59"/>
      <x:c r="DS33" s="59"/>
      <x:c r="DT33" s="59"/>
      <x:c r="DU33" s="59"/>
      <x:c r="DV33" s="59"/>
      <x:c r="DW33" s="59"/>
      <x:c r="DX33" s="59"/>
      <x:c r="DY33" s="59"/>
      <x:c r="DZ33" s="59"/>
      <x:c r="EA33" s="59"/>
      <x:c r="EB33" s="59"/>
      <x:c r="EC33" s="59"/>
      <x:c r="ED33" s="59"/>
      <x:c r="EE33" s="59"/>
      <x:c r="EF33" s="59"/>
      <x:c r="EG33" s="59"/>
      <x:c r="EH33" s="59"/>
      <x:c r="EI33" s="59"/>
      <x:c r="EJ33" s="59"/>
      <x:c r="EK33" s="59"/>
      <x:c r="EL33" s="59"/>
      <x:c r="EM33" s="59"/>
      <x:c r="EN33" s="59"/>
      <x:c r="EO33" s="59"/>
      <x:c r="EP33" s="59"/>
      <x:c r="EQ33" s="59"/>
      <x:c r="ER33" s="59"/>
      <x:c r="ES33" s="59"/>
      <x:c r="ET33" s="59"/>
      <x:c r="EU33" s="59"/>
      <x:c r="EV33" s="59"/>
      <x:c r="EW33" s="59"/>
      <x:c r="EX33" s="59"/>
      <x:c r="EY33" s="59"/>
      <x:c r="EZ33" s="59"/>
      <x:c r="FA33" s="59"/>
      <x:c r="FB33" s="59"/>
      <x:c r="FC33" s="59"/>
      <x:c r="FD33" s="59"/>
      <x:c r="FE33" s="59"/>
      <x:c r="FF33" s="59"/>
      <x:c r="FG33" s="59"/>
      <x:c r="FH33" s="59"/>
      <x:c r="FI33" s="59"/>
      <x:c r="FJ33" s="59"/>
      <x:c r="FK33" s="59"/>
      <x:c r="FL33" s="59"/>
      <x:c r="FM33" s="59"/>
      <x:c r="FN33" s="59"/>
      <x:c r="FO33" s="59"/>
      <x:c r="FP33" s="59"/>
      <x:c r="FQ33" s="59"/>
      <x:c r="FR33" s="59"/>
      <x:c r="FS33" s="59"/>
      <x:c r="FT33" s="59"/>
      <x:c r="FU33" s="59"/>
      <x:c r="FV33" s="59"/>
      <x:c r="FW33" s="59"/>
      <x:c r="FX33" s="59"/>
      <x:c r="FY33" s="59"/>
      <x:c r="FZ33" s="59"/>
      <x:c r="GA33" s="59"/>
      <x:c r="GB33" s="59"/>
      <x:c r="GC33" s="59"/>
      <x:c r="GD33" s="59"/>
      <x:c r="GE33" s="59"/>
      <x:c r="GF33" s="59"/>
      <x:c r="GG33" s="59"/>
      <x:c r="GH33" s="59"/>
      <x:c r="GI33" s="59"/>
      <x:c r="GJ33" s="59"/>
      <x:c r="GK33" s="59"/>
      <x:c r="GL33" s="59"/>
      <x:c r="GM33" s="59"/>
      <x:c r="GN33" s="59"/>
      <x:c r="GO33" s="59"/>
      <x:c r="GP33" s="59"/>
      <x:c r="GQ33" s="59"/>
      <x:c r="GR33" s="59"/>
      <x:c r="GS33" s="59"/>
      <x:c r="GT33" s="59"/>
      <x:c r="GU33" s="59"/>
      <x:c r="GV33" s="59"/>
      <x:c r="GW33" s="59"/>
      <x:c r="GX33" s="59"/>
      <x:c r="GY33" s="59"/>
      <x:c r="GZ33" s="59"/>
      <x:c r="HA33" s="59"/>
      <x:c r="HB33" s="59"/>
      <x:c r="HC33" s="59"/>
      <x:c r="HD33" s="59"/>
      <x:c r="HE33" s="59"/>
      <x:c r="HF33" s="59"/>
      <x:c r="HG33" s="59"/>
      <x:c r="HH33" s="59"/>
      <x:c r="HI33" s="59"/>
      <x:c r="HJ33" s="59"/>
      <x:c r="HK33" s="59"/>
      <x:c r="HL33" s="59"/>
      <x:c r="HM33" s="59"/>
      <x:c r="HN33" s="59"/>
      <x:c r="HO33" s="59"/>
      <x:c r="HP33" s="59"/>
      <x:c r="HQ33" s="59"/>
      <x:c r="HR33" s="59"/>
      <x:c r="HS33" s="59"/>
      <x:c r="HT33" s="59"/>
      <x:c r="HU33" s="59"/>
      <x:c r="HV33" s="59"/>
      <x:c r="HW33" s="59"/>
      <x:c r="HX33" s="59"/>
      <x:c r="HY33" s="59"/>
      <x:c r="HZ33" s="59"/>
      <x:c r="IA33" s="59"/>
      <x:c r="IB33" s="59"/>
      <x:c r="IC33" s="59"/>
      <x:c r="ID33" s="59"/>
      <x:c r="IE33" s="59"/>
      <x:c r="IF33" s="59"/>
      <x:c r="IG33" s="59"/>
      <x:c r="IH33" s="59"/>
      <x:c r="II33" s="59"/>
      <x:c r="IJ33" s="59"/>
      <x:c r="IK33" s="59"/>
      <x:c r="IL33" s="59"/>
      <x:c r="IM33" s="59"/>
      <x:c r="IN33" s="59"/>
      <x:c r="IO33" s="59"/>
      <x:c r="IP33" s="59"/>
      <x:c r="IQ33" s="59"/>
      <x:c r="IR33" s="59"/>
      <x:c r="IS33" s="59"/>
      <x:c r="IT33" s="59"/>
      <x:c r="IU33" s="59"/>
      <x:c r="IV33" s="59"/>
      <x:c r="IW33" s="59"/>
      <x:c r="IX33" s="59"/>
      <x:c r="IY33" s="59"/>
      <x:c r="IZ33" s="59"/>
      <x:c r="JA33" s="59"/>
      <x:c r="JB33" s="59"/>
      <x:c r="JC33" s="59"/>
      <x:c r="JD33" s="59"/>
      <x:c r="JE33" s="59"/>
      <x:c r="JF33" s="59"/>
      <x:c r="JG33" s="59"/>
      <x:c r="JH33" s="59"/>
      <x:c r="JI33" s="59"/>
      <x:c r="JJ33" s="59"/>
      <x:c r="JK33" s="59"/>
      <x:c r="JL33" s="59"/>
      <x:c r="JM33" s="59"/>
      <x:c r="JN33" s="59"/>
      <x:c r="JO33" s="59"/>
      <x:c r="JP33" s="59"/>
      <x:c r="JQ33" s="59"/>
      <x:c r="JR33" s="59"/>
      <x:c r="JS33" s="59"/>
      <x:c r="JT33" s="59"/>
      <x:c r="JU33" s="59"/>
      <x:c r="JV33" s="59"/>
      <x:c r="JW33" s="59"/>
      <x:c r="JX33" s="59"/>
      <x:c r="JY33" s="59"/>
      <x:c r="JZ33" s="59"/>
      <x:c r="KA33" s="59"/>
      <x:c r="KB33" s="59"/>
      <x:c r="KC33" s="59"/>
      <x:c r="KD33" s="59"/>
      <x:c r="KE33" s="59"/>
      <x:c r="KF33" s="59"/>
      <x:c r="KG33" s="59"/>
      <x:c r="KH33" s="59"/>
      <x:c r="KI33" s="59"/>
      <x:c r="KJ33" s="59"/>
      <x:c r="KK33" s="59"/>
      <x:c r="KL33" s="59"/>
      <x:c r="KM33" s="59"/>
      <x:c r="KN33" s="59"/>
      <x:c r="KO33" s="59"/>
      <x:c r="KP33" s="59"/>
      <x:c r="KQ33" s="59"/>
      <x:c r="KR33" s="59"/>
      <x:c r="KS33" s="59"/>
      <x:c r="KT33" s="59"/>
      <x:c r="KU33" s="59"/>
      <x:c r="KV33" s="59"/>
      <x:c r="KW33" s="59"/>
      <x:c r="KX33" s="59"/>
      <x:c r="KY33" s="59"/>
      <x:c r="KZ33" s="59"/>
      <x:c r="LA33" s="59"/>
      <x:c r="LB33" s="59"/>
      <x:c r="LC33" s="59"/>
      <x:c r="LD33" s="59"/>
      <x:c r="LE33" s="59"/>
      <x:c r="LF33" s="59"/>
      <x:c r="LG33" s="59"/>
      <x:c r="LH33" s="59"/>
      <x:c r="LI33" s="59"/>
      <x:c r="LJ33" s="59"/>
      <x:c r="LK33" s="59"/>
      <x:c r="LL33" s="59"/>
      <x:c r="LM33" s="59"/>
      <x:c r="LN33" s="59"/>
      <x:c r="LO33" s="59"/>
      <x:c r="LP33" s="59"/>
      <x:c r="LQ33" s="59"/>
      <x:c r="LR33" s="59"/>
      <x:c r="LS33" s="59"/>
      <x:c r="LT33" s="59"/>
      <x:c r="LU33" s="59"/>
      <x:c r="LV33" s="59"/>
      <x:c r="LW33" s="59"/>
      <x:c r="LX33" s="59"/>
      <x:c r="LY33" s="59"/>
      <x:c r="LZ33" s="59"/>
      <x:c r="MA33" s="59"/>
      <x:c r="MB33" s="59"/>
      <x:c r="MC33" s="59"/>
      <x:c r="MD33" s="59"/>
      <x:c r="ME33" s="59"/>
      <x:c r="MF33" s="59"/>
      <x:c r="MG33" s="59"/>
      <x:c r="MH33" s="59"/>
      <x:c r="MI33" s="59"/>
      <x:c r="MJ33" s="59"/>
      <x:c r="MK33" s="59"/>
      <x:c r="ML33" s="59"/>
      <x:c r="MM33" s="59"/>
      <x:c r="MN33" s="59"/>
      <x:c r="MO33" s="59"/>
      <x:c r="MP33" s="59"/>
      <x:c r="MQ33" s="59"/>
      <x:c r="MR33" s="59"/>
      <x:c r="MS33" s="59"/>
      <x:c r="MT33" s="59"/>
      <x:c r="MU33" s="59"/>
      <x:c r="MV33" s="59"/>
      <x:c r="MW33" s="59"/>
      <x:c r="MX33" s="59"/>
      <x:c r="MY33" s="59"/>
      <x:c r="MZ33" s="59"/>
      <x:c r="NA33" s="59"/>
      <x:c r="NB33" s="59"/>
      <x:c r="NC33" s="59"/>
      <x:c r="ND33" s="59"/>
      <x:c r="NE33" s="59"/>
      <x:c r="NF33" s="59"/>
      <x:c r="NG33" s="59"/>
      <x:c r="NH33" s="59"/>
      <x:c r="NI33" s="59"/>
      <x:c r="NJ33" s="59"/>
      <x:c r="NK33" s="59"/>
      <x:c r="NL33" s="59"/>
      <x:c r="NM33" s="59"/>
      <x:c r="NN33" s="59"/>
      <x:c r="NO33" s="59"/>
      <x:c r="NP33" s="59"/>
      <x:c r="NQ33" s="59"/>
      <x:c r="NR33" s="59"/>
      <x:c r="NS33" s="59"/>
      <x:c r="NT33" s="59"/>
      <x:c r="NU33" s="59"/>
      <x:c r="NV33" s="59"/>
      <x:c r="NW33" s="59"/>
      <x:c r="NX33" s="59"/>
      <x:c r="NY33" s="59"/>
      <x:c r="NZ33" s="59"/>
      <x:c r="OA33" s="59"/>
      <x:c r="OB33" s="59"/>
      <x:c r="OC33" s="59"/>
      <x:c r="OD33" s="59"/>
      <x:c r="OE33" s="59"/>
      <x:c r="OF33" s="59"/>
      <x:c r="OG33" s="59"/>
      <x:c r="OH33" s="59"/>
      <x:c r="OI33" s="59"/>
      <x:c r="OJ33" s="59"/>
      <x:c r="OK33" s="59"/>
      <x:c r="OL33" s="59"/>
      <x:c r="OM33" s="59"/>
      <x:c r="ON33" s="59"/>
      <x:c r="OO33" s="59"/>
      <x:c r="OP33" s="59"/>
      <x:c r="OQ33" s="59"/>
      <x:c r="OR33" s="59"/>
      <x:c r="OS33" s="59"/>
      <x:c r="OT33" s="59"/>
      <x:c r="OU33" s="59"/>
      <x:c r="OV33" s="59"/>
      <x:c r="OW33" s="59"/>
      <x:c r="OX33" s="59"/>
      <x:c r="OY33" s="59"/>
      <x:c r="OZ33" s="59"/>
      <x:c r="PA33" s="59"/>
      <x:c r="PB33" s="59"/>
      <x:c r="PC33" s="59"/>
      <x:c r="PD33" s="59"/>
      <x:c r="PE33" s="59"/>
      <x:c r="PF33" s="59"/>
      <x:c r="PG33" s="59"/>
      <x:c r="PH33" s="59"/>
      <x:c r="PI33" s="59"/>
      <x:c r="PJ33" s="59"/>
      <x:c r="PK33" s="59"/>
      <x:c r="PL33" s="59"/>
      <x:c r="PM33" s="59"/>
      <x:c r="PN33" s="59"/>
      <x:c r="PO33" s="59"/>
      <x:c r="PP33" s="59"/>
      <x:c r="PQ33" s="59"/>
      <x:c r="PR33" s="59"/>
      <x:c r="PS33" s="59"/>
      <x:c r="PT33" s="59"/>
      <x:c r="PU33" s="59"/>
      <x:c r="PV33" s="59"/>
      <x:c r="PW33" s="59"/>
      <x:c r="PX33" s="59"/>
      <x:c r="PY33" s="59"/>
      <x:c r="PZ33" s="59"/>
      <x:c r="QA33" s="59"/>
      <x:c r="QB33" s="59"/>
      <x:c r="QC33" s="59"/>
      <x:c r="QD33" s="59"/>
      <x:c r="QE33" s="59"/>
      <x:c r="QF33" s="59"/>
      <x:c r="QG33" s="59"/>
      <x:c r="QH33" s="59"/>
      <x:c r="QI33" s="59"/>
      <x:c r="QJ33" s="59"/>
      <x:c r="QK33" s="59"/>
      <x:c r="QL33" s="59"/>
      <x:c r="QM33" s="59"/>
      <x:c r="QN33" s="59"/>
      <x:c r="QO33" s="59"/>
      <x:c r="QP33" s="59"/>
      <x:c r="QQ33" s="59"/>
      <x:c r="QR33" s="59"/>
      <x:c r="QS33" s="59"/>
      <x:c r="QT33" s="59"/>
      <x:c r="QU33" s="59"/>
      <x:c r="QV33" s="59"/>
      <x:c r="QW33" s="59"/>
      <x:c r="QX33" s="59"/>
      <x:c r="QY33" s="59"/>
      <x:c r="QZ33" s="59"/>
      <x:c r="RA33" s="59"/>
      <x:c r="RB33" s="59"/>
      <x:c r="RC33" s="59"/>
      <x:c r="RD33" s="59"/>
      <x:c r="RE33" s="59"/>
      <x:c r="RF33" s="59"/>
      <x:c r="RG33" s="59"/>
      <x:c r="RH33" s="59"/>
      <x:c r="RI33" s="59"/>
      <x:c r="RJ33" s="59"/>
      <x:c r="RK33" s="59"/>
      <x:c r="RL33" s="59"/>
      <x:c r="RM33" s="59"/>
      <x:c r="RN33" s="59"/>
      <x:c r="RO33" s="59"/>
      <x:c r="RP33" s="59"/>
      <x:c r="RQ33" s="59"/>
      <x:c r="RR33" s="59"/>
      <x:c r="RS33" s="59"/>
      <x:c r="RT33" s="59"/>
      <x:c r="RU33" s="59"/>
      <x:c r="RV33" s="59"/>
      <x:c r="RW33" s="59"/>
      <x:c r="RX33" s="59"/>
      <x:c r="RY33" s="59"/>
      <x:c r="RZ33" s="59"/>
      <x:c r="SA33" s="59"/>
      <x:c r="SB33" s="59"/>
      <x:c r="SC33" s="59"/>
      <x:c r="SD33" s="59"/>
      <x:c r="SE33" s="59"/>
      <x:c r="SF33" s="59"/>
    </x:row>
    <x:row r="34">
      <x:c r="A34" s="61" t="s">
        <x:v>60</x:v>
      </x:c>
      <x:c r="B34" s="66" t="s">
        <x:v>61</x:v>
      </x:c>
      <x:c r="C34" s="66"/>
      <x:c r="D34" s="63" t="s">
        <x:v>62</x:v>
      </x:c>
      <x:c r="E34" s="63"/>
      <x:c r="F34" s="63"/>
      <x:c r="G34" s="63" t="str">
        <x:v>Example: Riverside Branch</x:v>
      </x:c>
      <x:c r="H34" s="63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  <x:c r="AA34" s="59"/>
      <x:c r="AB34" s="59"/>
      <x:c r="AC34" s="59"/>
      <x:c r="AD34" s="59"/>
      <x:c r="AE34" s="59"/>
      <x:c r="AF34" s="59"/>
      <x:c r="AG34" s="59"/>
      <x:c r="AH34" s="59"/>
      <x:c r="AI34" s="59"/>
      <x:c r="AJ34" s="59"/>
      <x:c r="AK34" s="59"/>
      <x:c r="AL34" s="59"/>
      <x:c r="AM34" s="59"/>
      <x:c r="AN34" s="59"/>
      <x:c r="AO34" s="59"/>
      <x:c r="AP34" s="59"/>
      <x:c r="AQ34" s="59"/>
      <x:c r="AR34" s="59"/>
      <x:c r="AS34" s="59"/>
      <x:c r="AT34" s="59"/>
      <x:c r="AU34" s="59"/>
      <x:c r="AV34" s="59"/>
      <x:c r="AW34" s="59"/>
      <x:c r="AX34" s="59"/>
      <x:c r="AY34" s="59"/>
      <x:c r="AZ34" s="59"/>
      <x:c r="BA34" s="59"/>
      <x:c r="BB34" s="59"/>
      <x:c r="BC34" s="59"/>
      <x:c r="BD34" s="59"/>
      <x:c r="BE34" s="59"/>
      <x:c r="BF34" s="59"/>
      <x:c r="BG34" s="59"/>
      <x:c r="BH34" s="59"/>
      <x:c r="BI34" s="59"/>
      <x:c r="BJ34" s="59"/>
      <x:c r="BK34" s="59"/>
      <x:c r="BL34" s="59"/>
      <x:c r="BM34" s="59"/>
      <x:c r="BN34" s="59"/>
      <x:c r="BO34" s="59"/>
      <x:c r="BP34" s="59"/>
      <x:c r="BQ34" s="59"/>
      <x:c r="BR34" s="59"/>
      <x:c r="BS34" s="59"/>
      <x:c r="BT34" s="59"/>
      <x:c r="BU34" s="59"/>
      <x:c r="BV34" s="59"/>
      <x:c r="BW34" s="59"/>
      <x:c r="BX34" s="59"/>
      <x:c r="BY34" s="59"/>
      <x:c r="BZ34" s="59"/>
      <x:c r="CA34" s="59"/>
      <x:c r="CB34" s="59"/>
      <x:c r="CC34" s="59"/>
      <x:c r="CD34" s="59"/>
      <x:c r="CE34" s="59"/>
      <x:c r="CF34" s="59"/>
      <x:c r="CG34" s="59"/>
      <x:c r="CH34" s="59"/>
      <x:c r="CI34" s="59"/>
      <x:c r="CJ34" s="59"/>
      <x:c r="CK34" s="59"/>
      <x:c r="CL34" s="59"/>
      <x:c r="CM34" s="59"/>
      <x:c r="CN34" s="59"/>
      <x:c r="CO34" s="59"/>
      <x:c r="CP34" s="59"/>
      <x:c r="CQ34" s="59"/>
      <x:c r="CR34" s="59"/>
      <x:c r="CS34" s="59"/>
      <x:c r="CT34" s="59"/>
      <x:c r="CU34" s="59"/>
      <x:c r="CV34" s="59"/>
      <x:c r="CW34" s="59"/>
      <x:c r="CX34" s="59"/>
      <x:c r="CY34" s="59"/>
      <x:c r="CZ34" s="59"/>
      <x:c r="DA34" s="59"/>
      <x:c r="DB34" s="59"/>
      <x:c r="DC34" s="59"/>
      <x:c r="DD34" s="59"/>
      <x:c r="DE34" s="59"/>
      <x:c r="DF34" s="59"/>
      <x:c r="DG34" s="59"/>
      <x:c r="DH34" s="59"/>
      <x:c r="DI34" s="59"/>
      <x:c r="DJ34" s="59"/>
      <x:c r="DK34" s="59"/>
      <x:c r="DL34" s="59"/>
      <x:c r="DM34" s="59"/>
      <x:c r="DN34" s="59"/>
      <x:c r="DO34" s="59"/>
      <x:c r="DP34" s="59"/>
      <x:c r="DQ34" s="59"/>
      <x:c r="DR34" s="59"/>
      <x:c r="DS34" s="59"/>
      <x:c r="DT34" s="59"/>
      <x:c r="DU34" s="59"/>
      <x:c r="DV34" s="59"/>
      <x:c r="DW34" s="59"/>
      <x:c r="DX34" s="59"/>
      <x:c r="DY34" s="59"/>
      <x:c r="DZ34" s="59"/>
      <x:c r="EA34" s="59"/>
      <x:c r="EB34" s="59"/>
      <x:c r="EC34" s="59"/>
      <x:c r="ED34" s="59"/>
      <x:c r="EE34" s="59"/>
      <x:c r="EF34" s="59"/>
      <x:c r="EG34" s="59"/>
      <x:c r="EH34" s="59"/>
      <x:c r="EI34" s="59"/>
      <x:c r="EJ34" s="59"/>
      <x:c r="EK34" s="59"/>
      <x:c r="EL34" s="59"/>
      <x:c r="EM34" s="59"/>
      <x:c r="EN34" s="59"/>
      <x:c r="EO34" s="59"/>
      <x:c r="EP34" s="59"/>
      <x:c r="EQ34" s="59"/>
      <x:c r="ER34" s="59"/>
      <x:c r="ES34" s="59"/>
      <x:c r="ET34" s="59"/>
      <x:c r="EU34" s="59"/>
      <x:c r="EV34" s="59"/>
      <x:c r="EW34" s="59"/>
      <x:c r="EX34" s="59"/>
      <x:c r="EY34" s="59"/>
      <x:c r="EZ34" s="59"/>
      <x:c r="FA34" s="59"/>
      <x:c r="FB34" s="59"/>
      <x:c r="FC34" s="59"/>
      <x:c r="FD34" s="59"/>
      <x:c r="FE34" s="59"/>
      <x:c r="FF34" s="59"/>
      <x:c r="FG34" s="59"/>
      <x:c r="FH34" s="59"/>
      <x:c r="FI34" s="59"/>
      <x:c r="FJ34" s="59"/>
      <x:c r="FK34" s="59"/>
      <x:c r="FL34" s="59"/>
      <x:c r="FM34" s="59"/>
      <x:c r="FN34" s="59"/>
      <x:c r="FO34" s="59"/>
      <x:c r="FP34" s="59"/>
      <x:c r="FQ34" s="59"/>
      <x:c r="FR34" s="59"/>
      <x:c r="FS34" s="59"/>
      <x:c r="FT34" s="59"/>
      <x:c r="FU34" s="59"/>
      <x:c r="FV34" s="59"/>
      <x:c r="FW34" s="59"/>
      <x:c r="FX34" s="59"/>
      <x:c r="FY34" s="59"/>
      <x:c r="FZ34" s="59"/>
      <x:c r="GA34" s="59"/>
      <x:c r="GB34" s="59"/>
      <x:c r="GC34" s="59"/>
      <x:c r="GD34" s="59"/>
      <x:c r="GE34" s="59"/>
      <x:c r="GF34" s="59"/>
      <x:c r="GG34" s="59"/>
      <x:c r="GH34" s="59"/>
      <x:c r="GI34" s="59"/>
      <x:c r="GJ34" s="59"/>
      <x:c r="GK34" s="59"/>
      <x:c r="GL34" s="59"/>
      <x:c r="GM34" s="59"/>
      <x:c r="GN34" s="59"/>
      <x:c r="GO34" s="59"/>
      <x:c r="GP34" s="59"/>
      <x:c r="GQ34" s="59"/>
      <x:c r="GR34" s="59"/>
      <x:c r="GS34" s="59"/>
      <x:c r="GT34" s="59"/>
      <x:c r="GU34" s="59"/>
      <x:c r="GV34" s="59"/>
      <x:c r="GW34" s="59"/>
      <x:c r="GX34" s="59"/>
      <x:c r="GY34" s="59"/>
      <x:c r="GZ34" s="59"/>
      <x:c r="HA34" s="59"/>
      <x:c r="HB34" s="59"/>
      <x:c r="HC34" s="59"/>
      <x:c r="HD34" s="59"/>
      <x:c r="HE34" s="59"/>
      <x:c r="HF34" s="59"/>
      <x:c r="HG34" s="59"/>
      <x:c r="HH34" s="59"/>
      <x:c r="HI34" s="59"/>
      <x:c r="HJ34" s="59"/>
      <x:c r="HK34" s="59"/>
      <x:c r="HL34" s="59"/>
      <x:c r="HM34" s="59"/>
      <x:c r="HN34" s="59"/>
      <x:c r="HO34" s="59"/>
      <x:c r="HP34" s="59"/>
      <x:c r="HQ34" s="59"/>
      <x:c r="HR34" s="59"/>
      <x:c r="HS34" s="59"/>
      <x:c r="HT34" s="59"/>
      <x:c r="HU34" s="59"/>
      <x:c r="HV34" s="59"/>
      <x:c r="HW34" s="59"/>
      <x:c r="HX34" s="59"/>
      <x:c r="HY34" s="59"/>
      <x:c r="HZ34" s="59"/>
      <x:c r="IA34" s="59"/>
      <x:c r="IB34" s="59"/>
      <x:c r="IC34" s="59"/>
      <x:c r="ID34" s="59"/>
      <x:c r="IE34" s="59"/>
      <x:c r="IF34" s="59"/>
      <x:c r="IG34" s="59"/>
      <x:c r="IH34" s="59"/>
      <x:c r="II34" s="59"/>
      <x:c r="IJ34" s="59"/>
      <x:c r="IK34" s="59"/>
      <x:c r="IL34" s="59"/>
      <x:c r="IM34" s="59"/>
      <x:c r="IN34" s="59"/>
      <x:c r="IO34" s="59"/>
      <x:c r="IP34" s="59"/>
      <x:c r="IQ34" s="59"/>
      <x:c r="IR34" s="59"/>
      <x:c r="IS34" s="59"/>
      <x:c r="IT34" s="59"/>
      <x:c r="IU34" s="59"/>
      <x:c r="IV34" s="59"/>
      <x:c r="IW34" s="59"/>
      <x:c r="IX34" s="59"/>
      <x:c r="IY34" s="59"/>
      <x:c r="IZ34" s="59"/>
      <x:c r="JA34" s="59"/>
      <x:c r="JB34" s="59"/>
      <x:c r="JC34" s="59"/>
      <x:c r="JD34" s="59"/>
      <x:c r="JE34" s="59"/>
      <x:c r="JF34" s="59"/>
      <x:c r="JG34" s="59"/>
      <x:c r="JH34" s="59"/>
      <x:c r="JI34" s="59"/>
      <x:c r="JJ34" s="59"/>
      <x:c r="JK34" s="59"/>
      <x:c r="JL34" s="59"/>
      <x:c r="JM34" s="59"/>
      <x:c r="JN34" s="59"/>
      <x:c r="JO34" s="59"/>
      <x:c r="JP34" s="59"/>
      <x:c r="JQ34" s="59"/>
      <x:c r="JR34" s="59"/>
      <x:c r="JS34" s="59"/>
      <x:c r="JT34" s="59"/>
      <x:c r="JU34" s="59"/>
      <x:c r="JV34" s="59"/>
      <x:c r="JW34" s="59"/>
      <x:c r="JX34" s="59"/>
      <x:c r="JY34" s="59"/>
      <x:c r="JZ34" s="59"/>
      <x:c r="KA34" s="59"/>
      <x:c r="KB34" s="59"/>
      <x:c r="KC34" s="59"/>
      <x:c r="KD34" s="59"/>
      <x:c r="KE34" s="59"/>
      <x:c r="KF34" s="59"/>
      <x:c r="KG34" s="59"/>
      <x:c r="KH34" s="59"/>
      <x:c r="KI34" s="59"/>
      <x:c r="KJ34" s="59"/>
      <x:c r="KK34" s="59"/>
      <x:c r="KL34" s="59"/>
      <x:c r="KM34" s="59"/>
      <x:c r="KN34" s="59"/>
      <x:c r="KO34" s="59"/>
      <x:c r="KP34" s="59"/>
      <x:c r="KQ34" s="59"/>
      <x:c r="KR34" s="59"/>
      <x:c r="KS34" s="59"/>
      <x:c r="KT34" s="59"/>
      <x:c r="KU34" s="59"/>
      <x:c r="KV34" s="59"/>
      <x:c r="KW34" s="59"/>
      <x:c r="KX34" s="59"/>
      <x:c r="KY34" s="59"/>
      <x:c r="KZ34" s="59"/>
      <x:c r="LA34" s="59"/>
      <x:c r="LB34" s="59"/>
      <x:c r="LC34" s="59"/>
      <x:c r="LD34" s="59"/>
      <x:c r="LE34" s="59"/>
      <x:c r="LF34" s="59"/>
      <x:c r="LG34" s="59"/>
      <x:c r="LH34" s="59"/>
      <x:c r="LI34" s="59"/>
      <x:c r="LJ34" s="59"/>
      <x:c r="LK34" s="59"/>
      <x:c r="LL34" s="59"/>
      <x:c r="LM34" s="59"/>
      <x:c r="LN34" s="59"/>
      <x:c r="LO34" s="59"/>
      <x:c r="LP34" s="59"/>
      <x:c r="LQ34" s="59"/>
      <x:c r="LR34" s="59"/>
      <x:c r="LS34" s="59"/>
      <x:c r="LT34" s="59"/>
      <x:c r="LU34" s="59"/>
      <x:c r="LV34" s="59"/>
      <x:c r="LW34" s="59"/>
      <x:c r="LX34" s="59"/>
      <x:c r="LY34" s="59"/>
      <x:c r="LZ34" s="59"/>
      <x:c r="MA34" s="59"/>
      <x:c r="MB34" s="59"/>
      <x:c r="MC34" s="59"/>
      <x:c r="MD34" s="59"/>
      <x:c r="ME34" s="59"/>
      <x:c r="MF34" s="59"/>
      <x:c r="MG34" s="59"/>
      <x:c r="MH34" s="59"/>
      <x:c r="MI34" s="59"/>
      <x:c r="MJ34" s="59"/>
      <x:c r="MK34" s="59"/>
      <x:c r="ML34" s="59"/>
      <x:c r="MM34" s="59"/>
      <x:c r="MN34" s="59"/>
      <x:c r="MO34" s="59"/>
      <x:c r="MP34" s="59"/>
      <x:c r="MQ34" s="59"/>
      <x:c r="MR34" s="59"/>
      <x:c r="MS34" s="59"/>
      <x:c r="MT34" s="59"/>
      <x:c r="MU34" s="59"/>
      <x:c r="MV34" s="59"/>
      <x:c r="MW34" s="59"/>
      <x:c r="MX34" s="59"/>
      <x:c r="MY34" s="59"/>
      <x:c r="MZ34" s="59"/>
      <x:c r="NA34" s="59"/>
      <x:c r="NB34" s="59"/>
      <x:c r="NC34" s="59"/>
      <x:c r="ND34" s="59"/>
      <x:c r="NE34" s="59"/>
      <x:c r="NF34" s="59"/>
      <x:c r="NG34" s="59"/>
      <x:c r="NH34" s="59"/>
      <x:c r="NI34" s="59"/>
      <x:c r="NJ34" s="59"/>
      <x:c r="NK34" s="59"/>
      <x:c r="NL34" s="59"/>
      <x:c r="NM34" s="59"/>
      <x:c r="NN34" s="59"/>
      <x:c r="NO34" s="59"/>
      <x:c r="NP34" s="59"/>
      <x:c r="NQ34" s="59"/>
      <x:c r="NR34" s="59"/>
      <x:c r="NS34" s="59"/>
      <x:c r="NT34" s="59"/>
      <x:c r="NU34" s="59"/>
      <x:c r="NV34" s="59"/>
      <x:c r="NW34" s="59"/>
      <x:c r="NX34" s="59"/>
      <x:c r="NY34" s="59"/>
      <x:c r="NZ34" s="59"/>
      <x:c r="OA34" s="59"/>
      <x:c r="OB34" s="59"/>
      <x:c r="OC34" s="59"/>
      <x:c r="OD34" s="59"/>
      <x:c r="OE34" s="59"/>
      <x:c r="OF34" s="59"/>
      <x:c r="OG34" s="59"/>
      <x:c r="OH34" s="59"/>
      <x:c r="OI34" s="59"/>
      <x:c r="OJ34" s="59"/>
      <x:c r="OK34" s="59"/>
      <x:c r="OL34" s="59"/>
      <x:c r="OM34" s="59"/>
      <x:c r="ON34" s="59"/>
      <x:c r="OO34" s="59"/>
      <x:c r="OP34" s="59"/>
      <x:c r="OQ34" s="59"/>
      <x:c r="OR34" s="59"/>
      <x:c r="OS34" s="59"/>
      <x:c r="OT34" s="59"/>
      <x:c r="OU34" s="59"/>
      <x:c r="OV34" s="59"/>
      <x:c r="OW34" s="59"/>
      <x:c r="OX34" s="59"/>
      <x:c r="OY34" s="59"/>
      <x:c r="OZ34" s="59"/>
      <x:c r="PA34" s="59"/>
      <x:c r="PB34" s="59"/>
      <x:c r="PC34" s="59"/>
      <x:c r="PD34" s="59"/>
      <x:c r="PE34" s="59"/>
      <x:c r="PF34" s="59"/>
      <x:c r="PG34" s="59"/>
      <x:c r="PH34" s="59"/>
      <x:c r="PI34" s="59"/>
      <x:c r="PJ34" s="59"/>
      <x:c r="PK34" s="59"/>
      <x:c r="PL34" s="59"/>
      <x:c r="PM34" s="59"/>
      <x:c r="PN34" s="59"/>
      <x:c r="PO34" s="59"/>
      <x:c r="PP34" s="59"/>
      <x:c r="PQ34" s="59"/>
      <x:c r="PR34" s="59"/>
      <x:c r="PS34" s="59"/>
      <x:c r="PT34" s="59"/>
      <x:c r="PU34" s="59"/>
      <x:c r="PV34" s="59"/>
      <x:c r="PW34" s="59"/>
      <x:c r="PX34" s="59"/>
      <x:c r="PY34" s="59"/>
      <x:c r="PZ34" s="59"/>
      <x:c r="QA34" s="59"/>
      <x:c r="QB34" s="59"/>
      <x:c r="QC34" s="59"/>
      <x:c r="QD34" s="59"/>
      <x:c r="QE34" s="59"/>
      <x:c r="QF34" s="59"/>
      <x:c r="QG34" s="59"/>
      <x:c r="QH34" s="59"/>
      <x:c r="QI34" s="59"/>
      <x:c r="QJ34" s="59"/>
      <x:c r="QK34" s="59"/>
      <x:c r="QL34" s="59"/>
      <x:c r="QM34" s="59"/>
      <x:c r="QN34" s="59"/>
      <x:c r="QO34" s="59"/>
      <x:c r="QP34" s="59"/>
      <x:c r="QQ34" s="59"/>
      <x:c r="QR34" s="59"/>
      <x:c r="QS34" s="59"/>
      <x:c r="QT34" s="59"/>
      <x:c r="QU34" s="59"/>
      <x:c r="QV34" s="59"/>
      <x:c r="QW34" s="59"/>
      <x:c r="QX34" s="59"/>
      <x:c r="QY34" s="59"/>
      <x:c r="QZ34" s="59"/>
      <x:c r="RA34" s="59"/>
      <x:c r="RB34" s="59"/>
      <x:c r="RC34" s="59"/>
      <x:c r="RD34" s="59"/>
      <x:c r="RE34" s="59"/>
      <x:c r="RF34" s="59"/>
      <x:c r="RG34" s="59"/>
      <x:c r="RH34" s="59"/>
      <x:c r="RI34" s="59"/>
      <x:c r="RJ34" s="59"/>
      <x:c r="RK34" s="59"/>
      <x:c r="RL34" s="59"/>
      <x:c r="RM34" s="59"/>
      <x:c r="RN34" s="59"/>
      <x:c r="RO34" s="59"/>
      <x:c r="RP34" s="59"/>
      <x:c r="RQ34" s="59"/>
      <x:c r="RR34" s="59"/>
      <x:c r="RS34" s="59"/>
      <x:c r="RT34" s="59"/>
      <x:c r="RU34" s="59"/>
      <x:c r="RV34" s="59"/>
      <x:c r="RW34" s="59"/>
      <x:c r="RX34" s="59"/>
      <x:c r="RY34" s="59"/>
      <x:c r="RZ34" s="59"/>
      <x:c r="SA34" s="59"/>
      <x:c r="SB34" s="59"/>
      <x:c r="SC34" s="59"/>
      <x:c r="SD34" s="59"/>
      <x:c r="SE34" s="59"/>
      <x:c r="SF34" s="59"/>
    </x:row>
    <x:row r="35">
      <x:c r="A35" s="61" t="s">
        <x:v>63</x:v>
      </x:c>
      <x:c r="B35" s="66" t="s">
        <x:v>64</x:v>
      </x:c>
      <x:c r="C35" s="66"/>
      <x:c r="D35" s="63" t="s">
        <x:v>65</x:v>
      </x:c>
      <x:c r="E35" s="63"/>
      <x:c r="F35" s="63"/>
      <x:c r="G35" s="63" t="str">
        <x:v>Example: Senior Client Services Specialist</x:v>
      </x:c>
      <x:c r="H35" s="63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  <x:c r="AA35" s="59"/>
      <x:c r="AB35" s="59"/>
      <x:c r="AC35" s="59"/>
      <x:c r="AD35" s="59"/>
      <x:c r="AE35" s="59"/>
      <x:c r="AF35" s="59"/>
      <x:c r="AG35" s="59"/>
      <x:c r="AH35" s="59"/>
      <x:c r="AI35" s="59"/>
      <x:c r="AJ35" s="59"/>
      <x:c r="AK35" s="59"/>
      <x:c r="AL35" s="59"/>
      <x:c r="AM35" s="59"/>
      <x:c r="AN35" s="59"/>
      <x:c r="AO35" s="59"/>
      <x:c r="AP35" s="59"/>
      <x:c r="AQ35" s="59"/>
      <x:c r="AR35" s="59"/>
      <x:c r="AS35" s="59"/>
      <x:c r="AT35" s="59"/>
      <x:c r="AU35" s="59"/>
      <x:c r="AV35" s="59"/>
      <x:c r="AW35" s="59"/>
      <x:c r="AX35" s="59"/>
      <x:c r="AY35" s="59"/>
      <x:c r="AZ35" s="59"/>
      <x:c r="BA35" s="59"/>
      <x:c r="BB35" s="59"/>
      <x:c r="BC35" s="59"/>
      <x:c r="BD35" s="59"/>
      <x:c r="BE35" s="59"/>
      <x:c r="BF35" s="59"/>
      <x:c r="BG35" s="59"/>
      <x:c r="BH35" s="59"/>
      <x:c r="BI35" s="59"/>
      <x:c r="BJ35" s="59"/>
      <x:c r="BK35" s="59"/>
      <x:c r="BL35" s="59"/>
      <x:c r="BM35" s="59"/>
      <x:c r="BN35" s="59"/>
      <x:c r="BO35" s="59"/>
      <x:c r="BP35" s="59"/>
      <x:c r="BQ35" s="59"/>
      <x:c r="BR35" s="59"/>
      <x:c r="BS35" s="59"/>
      <x:c r="BT35" s="59"/>
      <x:c r="BU35" s="59"/>
      <x:c r="BV35" s="59"/>
      <x:c r="BW35" s="59"/>
      <x:c r="BX35" s="59"/>
      <x:c r="BY35" s="59"/>
      <x:c r="BZ35" s="59"/>
      <x:c r="CA35" s="59"/>
      <x:c r="CB35" s="59"/>
      <x:c r="CC35" s="59"/>
      <x:c r="CD35" s="59"/>
      <x:c r="CE35" s="59"/>
      <x:c r="CF35" s="59"/>
      <x:c r="CG35" s="59"/>
      <x:c r="CH35" s="59"/>
      <x:c r="CI35" s="59"/>
      <x:c r="CJ35" s="59"/>
      <x:c r="CK35" s="59"/>
      <x:c r="CL35" s="59"/>
      <x:c r="CM35" s="59"/>
      <x:c r="CN35" s="59"/>
      <x:c r="CO35" s="59"/>
      <x:c r="CP35" s="59"/>
      <x:c r="CQ35" s="59"/>
      <x:c r="CR35" s="59"/>
      <x:c r="CS35" s="59"/>
      <x:c r="CT35" s="59"/>
      <x:c r="CU35" s="59"/>
      <x:c r="CV35" s="59"/>
      <x:c r="CW35" s="59"/>
      <x:c r="CX35" s="59"/>
      <x:c r="CY35" s="59"/>
      <x:c r="CZ35" s="59"/>
      <x:c r="DA35" s="59"/>
      <x:c r="DB35" s="59"/>
      <x:c r="DC35" s="59"/>
      <x:c r="DD35" s="59"/>
      <x:c r="DE35" s="59"/>
      <x:c r="DF35" s="59"/>
      <x:c r="DG35" s="59"/>
      <x:c r="DH35" s="59"/>
      <x:c r="DI35" s="59"/>
      <x:c r="DJ35" s="59"/>
      <x:c r="DK35" s="59"/>
      <x:c r="DL35" s="59"/>
      <x:c r="DM35" s="59"/>
      <x:c r="DN35" s="59"/>
      <x:c r="DO35" s="59"/>
      <x:c r="DP35" s="59"/>
      <x:c r="DQ35" s="59"/>
      <x:c r="DR35" s="59"/>
      <x:c r="DS35" s="59"/>
      <x:c r="DT35" s="59"/>
      <x:c r="DU35" s="59"/>
      <x:c r="DV35" s="59"/>
      <x:c r="DW35" s="59"/>
      <x:c r="DX35" s="59"/>
      <x:c r="DY35" s="59"/>
      <x:c r="DZ35" s="59"/>
      <x:c r="EA35" s="59"/>
      <x:c r="EB35" s="59"/>
      <x:c r="EC35" s="59"/>
      <x:c r="ED35" s="59"/>
      <x:c r="EE35" s="59"/>
      <x:c r="EF35" s="59"/>
      <x:c r="EG35" s="59"/>
      <x:c r="EH35" s="59"/>
      <x:c r="EI35" s="59"/>
      <x:c r="EJ35" s="59"/>
      <x:c r="EK35" s="59"/>
      <x:c r="EL35" s="59"/>
      <x:c r="EM35" s="59"/>
      <x:c r="EN35" s="59"/>
      <x:c r="EO35" s="59"/>
      <x:c r="EP35" s="59"/>
      <x:c r="EQ35" s="59"/>
      <x:c r="ER35" s="59"/>
      <x:c r="ES35" s="59"/>
      <x:c r="ET35" s="59"/>
      <x:c r="EU35" s="59"/>
      <x:c r="EV35" s="59"/>
      <x:c r="EW35" s="59"/>
      <x:c r="EX35" s="59"/>
      <x:c r="EY35" s="59"/>
      <x:c r="EZ35" s="59"/>
      <x:c r="FA35" s="59"/>
      <x:c r="FB35" s="59"/>
      <x:c r="FC35" s="59"/>
      <x:c r="FD35" s="59"/>
      <x:c r="FE35" s="59"/>
      <x:c r="FF35" s="59"/>
      <x:c r="FG35" s="59"/>
      <x:c r="FH35" s="59"/>
      <x:c r="FI35" s="59"/>
      <x:c r="FJ35" s="59"/>
      <x:c r="FK35" s="59"/>
      <x:c r="FL35" s="59"/>
      <x:c r="FM35" s="59"/>
      <x:c r="FN35" s="59"/>
      <x:c r="FO35" s="59"/>
      <x:c r="FP35" s="59"/>
      <x:c r="FQ35" s="59"/>
      <x:c r="FR35" s="59"/>
      <x:c r="FS35" s="59"/>
      <x:c r="FT35" s="59"/>
      <x:c r="FU35" s="59"/>
      <x:c r="FV35" s="59"/>
      <x:c r="FW35" s="59"/>
      <x:c r="FX35" s="59"/>
      <x:c r="FY35" s="59"/>
      <x:c r="FZ35" s="59"/>
      <x:c r="GA35" s="59"/>
      <x:c r="GB35" s="59"/>
      <x:c r="GC35" s="59"/>
      <x:c r="GD35" s="59"/>
      <x:c r="GE35" s="59"/>
      <x:c r="GF35" s="59"/>
      <x:c r="GG35" s="59"/>
      <x:c r="GH35" s="59"/>
      <x:c r="GI35" s="59"/>
      <x:c r="GJ35" s="59"/>
      <x:c r="GK35" s="59"/>
      <x:c r="GL35" s="59"/>
      <x:c r="GM35" s="59"/>
      <x:c r="GN35" s="59"/>
      <x:c r="GO35" s="59"/>
      <x:c r="GP35" s="59"/>
      <x:c r="GQ35" s="59"/>
      <x:c r="GR35" s="59"/>
      <x:c r="GS35" s="59"/>
      <x:c r="GT35" s="59"/>
      <x:c r="GU35" s="59"/>
      <x:c r="GV35" s="59"/>
      <x:c r="GW35" s="59"/>
      <x:c r="GX35" s="59"/>
      <x:c r="GY35" s="59"/>
      <x:c r="GZ35" s="59"/>
      <x:c r="HA35" s="59"/>
      <x:c r="HB35" s="59"/>
      <x:c r="HC35" s="59"/>
      <x:c r="HD35" s="59"/>
      <x:c r="HE35" s="59"/>
      <x:c r="HF35" s="59"/>
      <x:c r="HG35" s="59"/>
      <x:c r="HH35" s="59"/>
      <x:c r="HI35" s="59"/>
      <x:c r="HJ35" s="59"/>
      <x:c r="HK35" s="59"/>
      <x:c r="HL35" s="59"/>
      <x:c r="HM35" s="59"/>
      <x:c r="HN35" s="59"/>
      <x:c r="HO35" s="59"/>
      <x:c r="HP35" s="59"/>
      <x:c r="HQ35" s="59"/>
      <x:c r="HR35" s="59"/>
      <x:c r="HS35" s="59"/>
      <x:c r="HT35" s="59"/>
      <x:c r="HU35" s="59"/>
      <x:c r="HV35" s="59"/>
      <x:c r="HW35" s="59"/>
      <x:c r="HX35" s="59"/>
      <x:c r="HY35" s="59"/>
      <x:c r="HZ35" s="59"/>
      <x:c r="IA35" s="59"/>
      <x:c r="IB35" s="59"/>
      <x:c r="IC35" s="59"/>
      <x:c r="ID35" s="59"/>
      <x:c r="IE35" s="59"/>
      <x:c r="IF35" s="59"/>
      <x:c r="IG35" s="59"/>
      <x:c r="IH35" s="59"/>
      <x:c r="II35" s="59"/>
      <x:c r="IJ35" s="59"/>
      <x:c r="IK35" s="59"/>
      <x:c r="IL35" s="59"/>
      <x:c r="IM35" s="59"/>
      <x:c r="IN35" s="59"/>
      <x:c r="IO35" s="59"/>
      <x:c r="IP35" s="59"/>
      <x:c r="IQ35" s="59"/>
      <x:c r="IR35" s="59"/>
      <x:c r="IS35" s="59"/>
      <x:c r="IT35" s="59"/>
      <x:c r="IU35" s="59"/>
      <x:c r="IV35" s="59"/>
      <x:c r="IW35" s="59"/>
      <x:c r="IX35" s="59"/>
      <x:c r="IY35" s="59"/>
      <x:c r="IZ35" s="59"/>
      <x:c r="JA35" s="59"/>
      <x:c r="JB35" s="59"/>
      <x:c r="JC35" s="59"/>
      <x:c r="JD35" s="59"/>
      <x:c r="JE35" s="59"/>
      <x:c r="JF35" s="59"/>
      <x:c r="JG35" s="59"/>
      <x:c r="JH35" s="59"/>
      <x:c r="JI35" s="59"/>
      <x:c r="JJ35" s="59"/>
      <x:c r="JK35" s="59"/>
      <x:c r="JL35" s="59"/>
      <x:c r="JM35" s="59"/>
      <x:c r="JN35" s="59"/>
      <x:c r="JO35" s="59"/>
      <x:c r="JP35" s="59"/>
      <x:c r="JQ35" s="59"/>
      <x:c r="JR35" s="59"/>
      <x:c r="JS35" s="59"/>
      <x:c r="JT35" s="59"/>
      <x:c r="JU35" s="59"/>
      <x:c r="JV35" s="59"/>
      <x:c r="JW35" s="59"/>
      <x:c r="JX35" s="59"/>
      <x:c r="JY35" s="59"/>
      <x:c r="JZ35" s="59"/>
      <x:c r="KA35" s="59"/>
      <x:c r="KB35" s="59"/>
      <x:c r="KC35" s="59"/>
      <x:c r="KD35" s="59"/>
      <x:c r="KE35" s="59"/>
      <x:c r="KF35" s="59"/>
      <x:c r="KG35" s="59"/>
      <x:c r="KH35" s="59"/>
      <x:c r="KI35" s="59"/>
      <x:c r="KJ35" s="59"/>
      <x:c r="KK35" s="59"/>
      <x:c r="KL35" s="59"/>
      <x:c r="KM35" s="59"/>
      <x:c r="KN35" s="59"/>
      <x:c r="KO35" s="59"/>
      <x:c r="KP35" s="59"/>
      <x:c r="KQ35" s="59"/>
      <x:c r="KR35" s="59"/>
      <x:c r="KS35" s="59"/>
      <x:c r="KT35" s="59"/>
      <x:c r="KU35" s="59"/>
      <x:c r="KV35" s="59"/>
      <x:c r="KW35" s="59"/>
      <x:c r="KX35" s="59"/>
      <x:c r="KY35" s="59"/>
      <x:c r="KZ35" s="59"/>
      <x:c r="LA35" s="59"/>
      <x:c r="LB35" s="59"/>
      <x:c r="LC35" s="59"/>
      <x:c r="LD35" s="59"/>
      <x:c r="LE35" s="59"/>
      <x:c r="LF35" s="59"/>
      <x:c r="LG35" s="59"/>
      <x:c r="LH35" s="59"/>
      <x:c r="LI35" s="59"/>
      <x:c r="LJ35" s="59"/>
      <x:c r="LK35" s="59"/>
      <x:c r="LL35" s="59"/>
      <x:c r="LM35" s="59"/>
      <x:c r="LN35" s="59"/>
      <x:c r="LO35" s="59"/>
      <x:c r="LP35" s="59"/>
      <x:c r="LQ35" s="59"/>
      <x:c r="LR35" s="59"/>
      <x:c r="LS35" s="59"/>
      <x:c r="LT35" s="59"/>
      <x:c r="LU35" s="59"/>
      <x:c r="LV35" s="59"/>
      <x:c r="LW35" s="59"/>
      <x:c r="LX35" s="59"/>
      <x:c r="LY35" s="59"/>
      <x:c r="LZ35" s="59"/>
      <x:c r="MA35" s="59"/>
      <x:c r="MB35" s="59"/>
      <x:c r="MC35" s="59"/>
      <x:c r="MD35" s="59"/>
      <x:c r="ME35" s="59"/>
      <x:c r="MF35" s="59"/>
      <x:c r="MG35" s="59"/>
      <x:c r="MH35" s="59"/>
      <x:c r="MI35" s="59"/>
      <x:c r="MJ35" s="59"/>
      <x:c r="MK35" s="59"/>
      <x:c r="ML35" s="59"/>
      <x:c r="MM35" s="59"/>
      <x:c r="MN35" s="59"/>
      <x:c r="MO35" s="59"/>
      <x:c r="MP35" s="59"/>
      <x:c r="MQ35" s="59"/>
      <x:c r="MR35" s="59"/>
      <x:c r="MS35" s="59"/>
      <x:c r="MT35" s="59"/>
      <x:c r="MU35" s="59"/>
      <x:c r="MV35" s="59"/>
      <x:c r="MW35" s="59"/>
      <x:c r="MX35" s="59"/>
      <x:c r="MY35" s="59"/>
      <x:c r="MZ35" s="59"/>
      <x:c r="NA35" s="59"/>
      <x:c r="NB35" s="59"/>
      <x:c r="NC35" s="59"/>
      <x:c r="ND35" s="59"/>
      <x:c r="NE35" s="59"/>
      <x:c r="NF35" s="59"/>
      <x:c r="NG35" s="59"/>
      <x:c r="NH35" s="59"/>
      <x:c r="NI35" s="59"/>
      <x:c r="NJ35" s="59"/>
      <x:c r="NK35" s="59"/>
      <x:c r="NL35" s="59"/>
      <x:c r="NM35" s="59"/>
      <x:c r="NN35" s="59"/>
      <x:c r="NO35" s="59"/>
      <x:c r="NP35" s="59"/>
      <x:c r="NQ35" s="59"/>
      <x:c r="NR35" s="59"/>
      <x:c r="NS35" s="59"/>
      <x:c r="NT35" s="59"/>
      <x:c r="NU35" s="59"/>
      <x:c r="NV35" s="59"/>
      <x:c r="NW35" s="59"/>
      <x:c r="NX35" s="59"/>
      <x:c r="NY35" s="59"/>
      <x:c r="NZ35" s="59"/>
      <x:c r="OA35" s="59"/>
      <x:c r="OB35" s="59"/>
      <x:c r="OC35" s="59"/>
      <x:c r="OD35" s="59"/>
      <x:c r="OE35" s="59"/>
      <x:c r="OF35" s="59"/>
      <x:c r="OG35" s="59"/>
      <x:c r="OH35" s="59"/>
      <x:c r="OI35" s="59"/>
      <x:c r="OJ35" s="59"/>
      <x:c r="OK35" s="59"/>
      <x:c r="OL35" s="59"/>
      <x:c r="OM35" s="59"/>
      <x:c r="ON35" s="59"/>
      <x:c r="OO35" s="59"/>
      <x:c r="OP35" s="59"/>
      <x:c r="OQ35" s="59"/>
      <x:c r="OR35" s="59"/>
      <x:c r="OS35" s="59"/>
      <x:c r="OT35" s="59"/>
      <x:c r="OU35" s="59"/>
      <x:c r="OV35" s="59"/>
      <x:c r="OW35" s="59"/>
      <x:c r="OX35" s="59"/>
      <x:c r="OY35" s="59"/>
      <x:c r="OZ35" s="59"/>
      <x:c r="PA35" s="59"/>
      <x:c r="PB35" s="59"/>
      <x:c r="PC35" s="59"/>
      <x:c r="PD35" s="59"/>
      <x:c r="PE35" s="59"/>
      <x:c r="PF35" s="59"/>
      <x:c r="PG35" s="59"/>
      <x:c r="PH35" s="59"/>
      <x:c r="PI35" s="59"/>
      <x:c r="PJ35" s="59"/>
      <x:c r="PK35" s="59"/>
      <x:c r="PL35" s="59"/>
      <x:c r="PM35" s="59"/>
      <x:c r="PN35" s="59"/>
      <x:c r="PO35" s="59"/>
      <x:c r="PP35" s="59"/>
      <x:c r="PQ35" s="59"/>
      <x:c r="PR35" s="59"/>
      <x:c r="PS35" s="59"/>
      <x:c r="PT35" s="59"/>
      <x:c r="PU35" s="59"/>
      <x:c r="PV35" s="59"/>
      <x:c r="PW35" s="59"/>
      <x:c r="PX35" s="59"/>
      <x:c r="PY35" s="59"/>
      <x:c r="PZ35" s="59"/>
      <x:c r="QA35" s="59"/>
      <x:c r="QB35" s="59"/>
      <x:c r="QC35" s="59"/>
      <x:c r="QD35" s="59"/>
      <x:c r="QE35" s="59"/>
      <x:c r="QF35" s="59"/>
      <x:c r="QG35" s="59"/>
      <x:c r="QH35" s="59"/>
      <x:c r="QI35" s="59"/>
      <x:c r="QJ35" s="59"/>
      <x:c r="QK35" s="59"/>
      <x:c r="QL35" s="59"/>
      <x:c r="QM35" s="59"/>
      <x:c r="QN35" s="59"/>
      <x:c r="QO35" s="59"/>
      <x:c r="QP35" s="59"/>
      <x:c r="QQ35" s="59"/>
      <x:c r="QR35" s="59"/>
      <x:c r="QS35" s="59"/>
      <x:c r="QT35" s="59"/>
      <x:c r="QU35" s="59"/>
      <x:c r="QV35" s="59"/>
      <x:c r="QW35" s="59"/>
      <x:c r="QX35" s="59"/>
      <x:c r="QY35" s="59"/>
      <x:c r="QZ35" s="59"/>
      <x:c r="RA35" s="59"/>
      <x:c r="RB35" s="59"/>
      <x:c r="RC35" s="59"/>
      <x:c r="RD35" s="59"/>
      <x:c r="RE35" s="59"/>
      <x:c r="RF35" s="59"/>
      <x:c r="RG35" s="59"/>
      <x:c r="RH35" s="59"/>
      <x:c r="RI35" s="59"/>
      <x:c r="RJ35" s="59"/>
      <x:c r="RK35" s="59"/>
      <x:c r="RL35" s="59"/>
      <x:c r="RM35" s="59"/>
      <x:c r="RN35" s="59"/>
      <x:c r="RO35" s="59"/>
      <x:c r="RP35" s="59"/>
      <x:c r="RQ35" s="59"/>
      <x:c r="RR35" s="59"/>
      <x:c r="RS35" s="59"/>
      <x:c r="RT35" s="59"/>
      <x:c r="RU35" s="59"/>
      <x:c r="RV35" s="59"/>
      <x:c r="RW35" s="59"/>
      <x:c r="RX35" s="59"/>
      <x:c r="RY35" s="59"/>
      <x:c r="RZ35" s="59"/>
      <x:c r="SA35" s="59"/>
      <x:c r="SB35" s="59"/>
      <x:c r="SC35" s="59"/>
      <x:c r="SD35" s="59"/>
      <x:c r="SE35" s="59"/>
      <x:c r="SF35" s="59"/>
    </x:row>
    <x:row r="36">
      <x:c r="A36" s="61" t="s">
        <x:v>66</x:v>
      </x:c>
      <x:c r="B36" s="66" t="s">
        <x:v>67</x:v>
      </x:c>
      <x:c r="C36" s="66"/>
      <x:c r="D36" s="63" t="s">
        <x:v>68</x:v>
      </x:c>
      <x:c r="E36" s="63"/>
      <x:c r="F36" s="63"/>
      <x:c r="G36" s="63" t="str">
        <x:v>Example: Senior Client Services Specialist</x:v>
      </x:c>
      <x:c r="H36" s="63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  <x:c r="AA36" s="59"/>
      <x:c r="AB36" s="59"/>
      <x:c r="AC36" s="59"/>
      <x:c r="AD36" s="59"/>
      <x:c r="AE36" s="59"/>
      <x:c r="AF36" s="59"/>
      <x:c r="AG36" s="59"/>
      <x:c r="AH36" s="59"/>
      <x:c r="AI36" s="59"/>
      <x:c r="AJ36" s="59"/>
      <x:c r="AK36" s="59"/>
      <x:c r="AL36" s="59"/>
      <x:c r="AM36" s="59"/>
      <x:c r="AN36" s="59"/>
      <x:c r="AO36" s="59"/>
      <x:c r="AP36" s="59"/>
      <x:c r="AQ36" s="59"/>
      <x:c r="AR36" s="59"/>
      <x:c r="AS36" s="59"/>
      <x:c r="AT36" s="59"/>
      <x:c r="AU36" s="59"/>
      <x:c r="AV36" s="59"/>
      <x:c r="AW36" s="59"/>
      <x:c r="AX36" s="59"/>
      <x:c r="AY36" s="59"/>
      <x:c r="AZ36" s="59"/>
      <x:c r="BA36" s="59"/>
      <x:c r="BB36" s="59"/>
      <x:c r="BC36" s="59"/>
      <x:c r="BD36" s="59"/>
      <x:c r="BE36" s="59"/>
      <x:c r="BF36" s="59"/>
      <x:c r="BG36" s="59"/>
      <x:c r="BH36" s="59"/>
      <x:c r="BI36" s="59"/>
      <x:c r="BJ36" s="59"/>
      <x:c r="BK36" s="59"/>
      <x:c r="BL36" s="59"/>
      <x:c r="BM36" s="59"/>
      <x:c r="BN36" s="59"/>
      <x:c r="BO36" s="59"/>
      <x:c r="BP36" s="59"/>
      <x:c r="BQ36" s="59"/>
      <x:c r="BR36" s="59"/>
      <x:c r="BS36" s="59"/>
      <x:c r="BT36" s="59"/>
      <x:c r="BU36" s="59"/>
      <x:c r="BV36" s="59"/>
      <x:c r="BW36" s="59"/>
      <x:c r="BX36" s="59"/>
      <x:c r="BY36" s="59"/>
      <x:c r="BZ36" s="59"/>
      <x:c r="CA36" s="59"/>
      <x:c r="CB36" s="59"/>
      <x:c r="CC36" s="59"/>
      <x:c r="CD36" s="59"/>
      <x:c r="CE36" s="59"/>
      <x:c r="CF36" s="59"/>
      <x:c r="CG36" s="59"/>
      <x:c r="CH36" s="59"/>
      <x:c r="CI36" s="59"/>
      <x:c r="CJ36" s="59"/>
      <x:c r="CK36" s="59"/>
      <x:c r="CL36" s="59"/>
      <x:c r="CM36" s="59"/>
      <x:c r="CN36" s="59"/>
      <x:c r="CO36" s="59"/>
      <x:c r="CP36" s="59"/>
      <x:c r="CQ36" s="59"/>
      <x:c r="CR36" s="59"/>
      <x:c r="CS36" s="59"/>
      <x:c r="CT36" s="59"/>
      <x:c r="CU36" s="59"/>
      <x:c r="CV36" s="59"/>
      <x:c r="CW36" s="59"/>
      <x:c r="CX36" s="59"/>
      <x:c r="CY36" s="59"/>
      <x:c r="CZ36" s="59"/>
      <x:c r="DA36" s="59"/>
      <x:c r="DB36" s="59"/>
      <x:c r="DC36" s="59"/>
      <x:c r="DD36" s="59"/>
      <x:c r="DE36" s="59"/>
      <x:c r="DF36" s="59"/>
      <x:c r="DG36" s="59"/>
      <x:c r="DH36" s="59"/>
      <x:c r="DI36" s="59"/>
      <x:c r="DJ36" s="59"/>
      <x:c r="DK36" s="59"/>
      <x:c r="DL36" s="59"/>
      <x:c r="DM36" s="59"/>
      <x:c r="DN36" s="59"/>
      <x:c r="DO36" s="59"/>
      <x:c r="DP36" s="59"/>
      <x:c r="DQ36" s="59"/>
      <x:c r="DR36" s="59"/>
      <x:c r="DS36" s="59"/>
      <x:c r="DT36" s="59"/>
      <x:c r="DU36" s="59"/>
      <x:c r="DV36" s="59"/>
      <x:c r="DW36" s="59"/>
      <x:c r="DX36" s="59"/>
      <x:c r="DY36" s="59"/>
      <x:c r="DZ36" s="59"/>
      <x:c r="EA36" s="59"/>
      <x:c r="EB36" s="59"/>
      <x:c r="EC36" s="59"/>
      <x:c r="ED36" s="59"/>
      <x:c r="EE36" s="59"/>
      <x:c r="EF36" s="59"/>
      <x:c r="EG36" s="59"/>
      <x:c r="EH36" s="59"/>
      <x:c r="EI36" s="59"/>
      <x:c r="EJ36" s="59"/>
      <x:c r="EK36" s="59"/>
      <x:c r="EL36" s="59"/>
      <x:c r="EM36" s="59"/>
      <x:c r="EN36" s="59"/>
      <x:c r="EO36" s="59"/>
      <x:c r="EP36" s="59"/>
      <x:c r="EQ36" s="59"/>
      <x:c r="ER36" s="59"/>
      <x:c r="ES36" s="59"/>
      <x:c r="ET36" s="59"/>
      <x:c r="EU36" s="59"/>
      <x:c r="EV36" s="59"/>
      <x:c r="EW36" s="59"/>
      <x:c r="EX36" s="59"/>
      <x:c r="EY36" s="59"/>
      <x:c r="EZ36" s="59"/>
      <x:c r="FA36" s="59"/>
      <x:c r="FB36" s="59"/>
      <x:c r="FC36" s="59"/>
      <x:c r="FD36" s="59"/>
      <x:c r="FE36" s="59"/>
      <x:c r="FF36" s="59"/>
      <x:c r="FG36" s="59"/>
      <x:c r="FH36" s="59"/>
      <x:c r="FI36" s="59"/>
      <x:c r="FJ36" s="59"/>
      <x:c r="FK36" s="59"/>
      <x:c r="FL36" s="59"/>
      <x:c r="FM36" s="59"/>
      <x:c r="FN36" s="59"/>
      <x:c r="FO36" s="59"/>
      <x:c r="FP36" s="59"/>
      <x:c r="FQ36" s="59"/>
      <x:c r="FR36" s="59"/>
      <x:c r="FS36" s="59"/>
      <x:c r="FT36" s="59"/>
      <x:c r="FU36" s="59"/>
      <x:c r="FV36" s="59"/>
      <x:c r="FW36" s="59"/>
      <x:c r="FX36" s="59"/>
      <x:c r="FY36" s="59"/>
      <x:c r="FZ36" s="59"/>
      <x:c r="GA36" s="59"/>
      <x:c r="GB36" s="59"/>
      <x:c r="GC36" s="59"/>
      <x:c r="GD36" s="59"/>
      <x:c r="GE36" s="59"/>
      <x:c r="GF36" s="59"/>
      <x:c r="GG36" s="59"/>
      <x:c r="GH36" s="59"/>
      <x:c r="GI36" s="59"/>
      <x:c r="GJ36" s="59"/>
      <x:c r="GK36" s="59"/>
      <x:c r="GL36" s="59"/>
      <x:c r="GM36" s="59"/>
      <x:c r="GN36" s="59"/>
      <x:c r="GO36" s="59"/>
      <x:c r="GP36" s="59"/>
      <x:c r="GQ36" s="59"/>
      <x:c r="GR36" s="59"/>
      <x:c r="GS36" s="59"/>
      <x:c r="GT36" s="59"/>
      <x:c r="GU36" s="59"/>
      <x:c r="GV36" s="59"/>
      <x:c r="GW36" s="59"/>
      <x:c r="GX36" s="59"/>
      <x:c r="GY36" s="59"/>
      <x:c r="GZ36" s="59"/>
      <x:c r="HA36" s="59"/>
      <x:c r="HB36" s="59"/>
      <x:c r="HC36" s="59"/>
      <x:c r="HD36" s="59"/>
      <x:c r="HE36" s="59"/>
      <x:c r="HF36" s="59"/>
      <x:c r="HG36" s="59"/>
      <x:c r="HH36" s="59"/>
      <x:c r="HI36" s="59"/>
      <x:c r="HJ36" s="59"/>
      <x:c r="HK36" s="59"/>
      <x:c r="HL36" s="59"/>
      <x:c r="HM36" s="59"/>
      <x:c r="HN36" s="59"/>
      <x:c r="HO36" s="59"/>
      <x:c r="HP36" s="59"/>
      <x:c r="HQ36" s="59"/>
      <x:c r="HR36" s="59"/>
      <x:c r="HS36" s="59"/>
      <x:c r="HT36" s="59"/>
      <x:c r="HU36" s="59"/>
      <x:c r="HV36" s="59"/>
      <x:c r="HW36" s="59"/>
      <x:c r="HX36" s="59"/>
      <x:c r="HY36" s="59"/>
      <x:c r="HZ36" s="59"/>
      <x:c r="IA36" s="59"/>
      <x:c r="IB36" s="59"/>
      <x:c r="IC36" s="59"/>
      <x:c r="ID36" s="59"/>
      <x:c r="IE36" s="59"/>
      <x:c r="IF36" s="59"/>
      <x:c r="IG36" s="59"/>
      <x:c r="IH36" s="59"/>
      <x:c r="II36" s="59"/>
      <x:c r="IJ36" s="59"/>
      <x:c r="IK36" s="59"/>
      <x:c r="IL36" s="59"/>
      <x:c r="IM36" s="59"/>
      <x:c r="IN36" s="59"/>
      <x:c r="IO36" s="59"/>
      <x:c r="IP36" s="59"/>
      <x:c r="IQ36" s="59"/>
      <x:c r="IR36" s="59"/>
      <x:c r="IS36" s="59"/>
      <x:c r="IT36" s="59"/>
      <x:c r="IU36" s="59"/>
      <x:c r="IV36" s="59"/>
      <x:c r="IW36" s="59"/>
      <x:c r="IX36" s="59"/>
      <x:c r="IY36" s="59"/>
      <x:c r="IZ36" s="59"/>
      <x:c r="JA36" s="59"/>
      <x:c r="JB36" s="59"/>
      <x:c r="JC36" s="59"/>
      <x:c r="JD36" s="59"/>
      <x:c r="JE36" s="59"/>
      <x:c r="JF36" s="59"/>
      <x:c r="JG36" s="59"/>
      <x:c r="JH36" s="59"/>
      <x:c r="JI36" s="59"/>
      <x:c r="JJ36" s="59"/>
      <x:c r="JK36" s="59"/>
      <x:c r="JL36" s="59"/>
      <x:c r="JM36" s="59"/>
      <x:c r="JN36" s="59"/>
      <x:c r="JO36" s="59"/>
      <x:c r="JP36" s="59"/>
      <x:c r="JQ36" s="59"/>
      <x:c r="JR36" s="59"/>
      <x:c r="JS36" s="59"/>
      <x:c r="JT36" s="59"/>
      <x:c r="JU36" s="59"/>
      <x:c r="JV36" s="59"/>
      <x:c r="JW36" s="59"/>
      <x:c r="JX36" s="59"/>
      <x:c r="JY36" s="59"/>
      <x:c r="JZ36" s="59"/>
      <x:c r="KA36" s="59"/>
      <x:c r="KB36" s="59"/>
      <x:c r="KC36" s="59"/>
      <x:c r="KD36" s="59"/>
      <x:c r="KE36" s="59"/>
      <x:c r="KF36" s="59"/>
      <x:c r="KG36" s="59"/>
      <x:c r="KH36" s="59"/>
      <x:c r="KI36" s="59"/>
      <x:c r="KJ36" s="59"/>
      <x:c r="KK36" s="59"/>
      <x:c r="KL36" s="59"/>
      <x:c r="KM36" s="59"/>
      <x:c r="KN36" s="59"/>
      <x:c r="KO36" s="59"/>
      <x:c r="KP36" s="59"/>
      <x:c r="KQ36" s="59"/>
      <x:c r="KR36" s="59"/>
      <x:c r="KS36" s="59"/>
      <x:c r="KT36" s="59"/>
      <x:c r="KU36" s="59"/>
      <x:c r="KV36" s="59"/>
      <x:c r="KW36" s="59"/>
      <x:c r="KX36" s="59"/>
      <x:c r="KY36" s="59"/>
      <x:c r="KZ36" s="59"/>
      <x:c r="LA36" s="59"/>
      <x:c r="LB36" s="59"/>
      <x:c r="LC36" s="59"/>
      <x:c r="LD36" s="59"/>
      <x:c r="LE36" s="59"/>
      <x:c r="LF36" s="59"/>
      <x:c r="LG36" s="59"/>
      <x:c r="LH36" s="59"/>
      <x:c r="LI36" s="59"/>
      <x:c r="LJ36" s="59"/>
      <x:c r="LK36" s="59"/>
      <x:c r="LL36" s="59"/>
      <x:c r="LM36" s="59"/>
      <x:c r="LN36" s="59"/>
      <x:c r="LO36" s="59"/>
      <x:c r="LP36" s="59"/>
      <x:c r="LQ36" s="59"/>
      <x:c r="LR36" s="59"/>
      <x:c r="LS36" s="59"/>
      <x:c r="LT36" s="59"/>
      <x:c r="LU36" s="59"/>
      <x:c r="LV36" s="59"/>
      <x:c r="LW36" s="59"/>
      <x:c r="LX36" s="59"/>
      <x:c r="LY36" s="59"/>
      <x:c r="LZ36" s="59"/>
      <x:c r="MA36" s="59"/>
      <x:c r="MB36" s="59"/>
      <x:c r="MC36" s="59"/>
      <x:c r="MD36" s="59"/>
      <x:c r="ME36" s="59"/>
      <x:c r="MF36" s="59"/>
      <x:c r="MG36" s="59"/>
      <x:c r="MH36" s="59"/>
      <x:c r="MI36" s="59"/>
      <x:c r="MJ36" s="59"/>
      <x:c r="MK36" s="59"/>
      <x:c r="ML36" s="59"/>
      <x:c r="MM36" s="59"/>
      <x:c r="MN36" s="59"/>
      <x:c r="MO36" s="59"/>
      <x:c r="MP36" s="59"/>
      <x:c r="MQ36" s="59"/>
      <x:c r="MR36" s="59"/>
      <x:c r="MS36" s="59"/>
      <x:c r="MT36" s="59"/>
      <x:c r="MU36" s="59"/>
      <x:c r="MV36" s="59"/>
      <x:c r="MW36" s="59"/>
      <x:c r="MX36" s="59"/>
      <x:c r="MY36" s="59"/>
      <x:c r="MZ36" s="59"/>
      <x:c r="NA36" s="59"/>
      <x:c r="NB36" s="59"/>
      <x:c r="NC36" s="59"/>
      <x:c r="ND36" s="59"/>
      <x:c r="NE36" s="59"/>
      <x:c r="NF36" s="59"/>
      <x:c r="NG36" s="59"/>
      <x:c r="NH36" s="59"/>
      <x:c r="NI36" s="59"/>
      <x:c r="NJ36" s="59"/>
      <x:c r="NK36" s="59"/>
      <x:c r="NL36" s="59"/>
      <x:c r="NM36" s="59"/>
      <x:c r="NN36" s="59"/>
      <x:c r="NO36" s="59"/>
      <x:c r="NP36" s="59"/>
      <x:c r="NQ36" s="59"/>
      <x:c r="NR36" s="59"/>
      <x:c r="NS36" s="59"/>
      <x:c r="NT36" s="59"/>
      <x:c r="NU36" s="59"/>
      <x:c r="NV36" s="59"/>
      <x:c r="NW36" s="59"/>
      <x:c r="NX36" s="59"/>
      <x:c r="NY36" s="59"/>
      <x:c r="NZ36" s="59"/>
      <x:c r="OA36" s="59"/>
      <x:c r="OB36" s="59"/>
      <x:c r="OC36" s="59"/>
      <x:c r="OD36" s="59"/>
      <x:c r="OE36" s="59"/>
      <x:c r="OF36" s="59"/>
      <x:c r="OG36" s="59"/>
      <x:c r="OH36" s="59"/>
      <x:c r="OI36" s="59"/>
      <x:c r="OJ36" s="59"/>
      <x:c r="OK36" s="59"/>
      <x:c r="OL36" s="59"/>
      <x:c r="OM36" s="59"/>
      <x:c r="ON36" s="59"/>
      <x:c r="OO36" s="59"/>
      <x:c r="OP36" s="59"/>
      <x:c r="OQ36" s="59"/>
      <x:c r="OR36" s="59"/>
      <x:c r="OS36" s="59"/>
      <x:c r="OT36" s="59"/>
      <x:c r="OU36" s="59"/>
      <x:c r="OV36" s="59"/>
      <x:c r="OW36" s="59"/>
      <x:c r="OX36" s="59"/>
      <x:c r="OY36" s="59"/>
      <x:c r="OZ36" s="59"/>
      <x:c r="PA36" s="59"/>
      <x:c r="PB36" s="59"/>
      <x:c r="PC36" s="59"/>
      <x:c r="PD36" s="59"/>
      <x:c r="PE36" s="59"/>
      <x:c r="PF36" s="59"/>
      <x:c r="PG36" s="59"/>
      <x:c r="PH36" s="59"/>
      <x:c r="PI36" s="59"/>
      <x:c r="PJ36" s="59"/>
      <x:c r="PK36" s="59"/>
      <x:c r="PL36" s="59"/>
      <x:c r="PM36" s="59"/>
      <x:c r="PN36" s="59"/>
      <x:c r="PO36" s="59"/>
      <x:c r="PP36" s="59"/>
      <x:c r="PQ36" s="59"/>
      <x:c r="PR36" s="59"/>
      <x:c r="PS36" s="59"/>
      <x:c r="PT36" s="59"/>
      <x:c r="PU36" s="59"/>
      <x:c r="PV36" s="59"/>
      <x:c r="PW36" s="59"/>
      <x:c r="PX36" s="59"/>
      <x:c r="PY36" s="59"/>
      <x:c r="PZ36" s="59"/>
      <x:c r="QA36" s="59"/>
      <x:c r="QB36" s="59"/>
      <x:c r="QC36" s="59"/>
      <x:c r="QD36" s="59"/>
      <x:c r="QE36" s="59"/>
      <x:c r="QF36" s="59"/>
      <x:c r="QG36" s="59"/>
      <x:c r="QH36" s="59"/>
      <x:c r="QI36" s="59"/>
      <x:c r="QJ36" s="59"/>
      <x:c r="QK36" s="59"/>
      <x:c r="QL36" s="59"/>
      <x:c r="QM36" s="59"/>
      <x:c r="QN36" s="59"/>
      <x:c r="QO36" s="59"/>
      <x:c r="QP36" s="59"/>
      <x:c r="QQ36" s="59"/>
      <x:c r="QR36" s="59"/>
      <x:c r="QS36" s="59"/>
      <x:c r="QT36" s="59"/>
      <x:c r="QU36" s="59"/>
      <x:c r="QV36" s="59"/>
      <x:c r="QW36" s="59"/>
      <x:c r="QX36" s="59"/>
      <x:c r="QY36" s="59"/>
      <x:c r="QZ36" s="59"/>
      <x:c r="RA36" s="59"/>
      <x:c r="RB36" s="59"/>
      <x:c r="RC36" s="59"/>
      <x:c r="RD36" s="59"/>
      <x:c r="RE36" s="59"/>
      <x:c r="RF36" s="59"/>
      <x:c r="RG36" s="59"/>
      <x:c r="RH36" s="59"/>
      <x:c r="RI36" s="59"/>
      <x:c r="RJ36" s="59"/>
      <x:c r="RK36" s="59"/>
      <x:c r="RL36" s="59"/>
      <x:c r="RM36" s="59"/>
      <x:c r="RN36" s="59"/>
      <x:c r="RO36" s="59"/>
      <x:c r="RP36" s="59"/>
      <x:c r="RQ36" s="59"/>
      <x:c r="RR36" s="59"/>
      <x:c r="RS36" s="59"/>
      <x:c r="RT36" s="59"/>
      <x:c r="RU36" s="59"/>
      <x:c r="RV36" s="59"/>
      <x:c r="RW36" s="59"/>
      <x:c r="RX36" s="59"/>
      <x:c r="RY36" s="59"/>
      <x:c r="RZ36" s="59"/>
      <x:c r="SA36" s="59"/>
      <x:c r="SB36" s="59"/>
      <x:c r="SC36" s="59"/>
      <x:c r="SD36" s="59"/>
      <x:c r="SE36" s="59"/>
      <x:c r="SF36" s="59"/>
    </x:row>
    <x:row r="37" ht="27" customHeight="1">
      <x:c r="A37" s="61" t="s">
        <x:v>69</x:v>
      </x:c>
      <x:c r="B37" s="66" t="s">
        <x:v>70</x:v>
      </x:c>
      <x:c r="C37" s="66"/>
      <x:c r="D37" s="63" t="s">
        <x:v>71</x:v>
      </x:c>
      <x:c r="E37" s="63"/>
      <x:c r="F37" s="63"/>
      <x:c r="G37" s="63" t="s">
        <x:v>72</x:v>
      </x:c>
      <x:c r="H37" s="63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  <x:c r="AA37" s="59"/>
      <x:c r="AB37" s="59"/>
      <x:c r="AC37" s="59"/>
      <x:c r="AD37" s="59"/>
      <x:c r="AE37" s="59"/>
      <x:c r="AF37" s="59"/>
      <x:c r="AG37" s="59"/>
      <x:c r="AH37" s="59"/>
      <x:c r="AI37" s="59"/>
      <x:c r="AJ37" s="59"/>
      <x:c r="AK37" s="59"/>
      <x:c r="AL37" s="59"/>
      <x:c r="AM37" s="59"/>
      <x:c r="AN37" s="59"/>
      <x:c r="AO37" s="59"/>
      <x:c r="AP37" s="59"/>
      <x:c r="AQ37" s="59"/>
      <x:c r="AR37" s="59"/>
      <x:c r="AS37" s="59"/>
      <x:c r="AT37" s="59"/>
      <x:c r="AU37" s="59"/>
      <x:c r="AV37" s="59"/>
      <x:c r="AW37" s="59"/>
      <x:c r="AX37" s="59"/>
      <x:c r="AY37" s="59"/>
      <x:c r="AZ37" s="59"/>
      <x:c r="BA37" s="59"/>
      <x:c r="BB37" s="59"/>
      <x:c r="BC37" s="59"/>
      <x:c r="BD37" s="59"/>
      <x:c r="BE37" s="59"/>
      <x:c r="BF37" s="59"/>
      <x:c r="BG37" s="59"/>
      <x:c r="BH37" s="59"/>
      <x:c r="BI37" s="59"/>
      <x:c r="BJ37" s="59"/>
      <x:c r="BK37" s="59"/>
      <x:c r="BL37" s="59"/>
      <x:c r="BM37" s="59"/>
      <x:c r="BN37" s="59"/>
      <x:c r="BO37" s="59"/>
      <x:c r="BP37" s="59"/>
      <x:c r="BQ37" s="59"/>
      <x:c r="BR37" s="59"/>
      <x:c r="BS37" s="59"/>
      <x:c r="BT37" s="59"/>
      <x:c r="BU37" s="59"/>
      <x:c r="BV37" s="59"/>
      <x:c r="BW37" s="59"/>
      <x:c r="BX37" s="59"/>
      <x:c r="BY37" s="59"/>
      <x:c r="BZ37" s="59"/>
      <x:c r="CA37" s="59"/>
      <x:c r="CB37" s="59"/>
      <x:c r="CC37" s="59"/>
      <x:c r="CD37" s="59"/>
      <x:c r="CE37" s="59"/>
      <x:c r="CF37" s="59"/>
      <x:c r="CG37" s="59"/>
      <x:c r="CH37" s="59"/>
      <x:c r="CI37" s="59"/>
      <x:c r="CJ37" s="59"/>
      <x:c r="CK37" s="59"/>
      <x:c r="CL37" s="59"/>
      <x:c r="CM37" s="59"/>
      <x:c r="CN37" s="59"/>
      <x:c r="CO37" s="59"/>
      <x:c r="CP37" s="59"/>
      <x:c r="CQ37" s="59"/>
      <x:c r="CR37" s="59"/>
      <x:c r="CS37" s="59"/>
      <x:c r="CT37" s="59"/>
      <x:c r="CU37" s="59"/>
      <x:c r="CV37" s="59"/>
      <x:c r="CW37" s="59"/>
      <x:c r="CX37" s="59"/>
      <x:c r="CY37" s="59"/>
      <x:c r="CZ37" s="59"/>
      <x:c r="DA37" s="59"/>
      <x:c r="DB37" s="59"/>
      <x:c r="DC37" s="59"/>
      <x:c r="DD37" s="59"/>
      <x:c r="DE37" s="59"/>
      <x:c r="DF37" s="59"/>
      <x:c r="DG37" s="59"/>
      <x:c r="DH37" s="59"/>
      <x:c r="DI37" s="59"/>
      <x:c r="DJ37" s="59"/>
      <x:c r="DK37" s="59"/>
      <x:c r="DL37" s="59"/>
      <x:c r="DM37" s="59"/>
      <x:c r="DN37" s="59"/>
      <x:c r="DO37" s="59"/>
      <x:c r="DP37" s="59"/>
      <x:c r="DQ37" s="59"/>
      <x:c r="DR37" s="59"/>
      <x:c r="DS37" s="59"/>
      <x:c r="DT37" s="59"/>
      <x:c r="DU37" s="59"/>
      <x:c r="DV37" s="59"/>
      <x:c r="DW37" s="59"/>
      <x:c r="DX37" s="59"/>
      <x:c r="DY37" s="59"/>
      <x:c r="DZ37" s="59"/>
      <x:c r="EA37" s="59"/>
      <x:c r="EB37" s="59"/>
      <x:c r="EC37" s="59"/>
      <x:c r="ED37" s="59"/>
      <x:c r="EE37" s="59"/>
      <x:c r="EF37" s="59"/>
      <x:c r="EG37" s="59"/>
      <x:c r="EH37" s="59"/>
      <x:c r="EI37" s="59"/>
      <x:c r="EJ37" s="59"/>
      <x:c r="EK37" s="59"/>
      <x:c r="EL37" s="59"/>
      <x:c r="EM37" s="59"/>
      <x:c r="EN37" s="59"/>
      <x:c r="EO37" s="59"/>
      <x:c r="EP37" s="59"/>
      <x:c r="EQ37" s="59"/>
      <x:c r="ER37" s="59"/>
      <x:c r="ES37" s="59"/>
      <x:c r="ET37" s="59"/>
      <x:c r="EU37" s="59"/>
      <x:c r="EV37" s="59"/>
      <x:c r="EW37" s="59"/>
      <x:c r="EX37" s="59"/>
      <x:c r="EY37" s="59"/>
      <x:c r="EZ37" s="59"/>
      <x:c r="FA37" s="59"/>
      <x:c r="FB37" s="59"/>
      <x:c r="FC37" s="59"/>
      <x:c r="FD37" s="59"/>
      <x:c r="FE37" s="59"/>
      <x:c r="FF37" s="59"/>
      <x:c r="FG37" s="59"/>
      <x:c r="FH37" s="59"/>
      <x:c r="FI37" s="59"/>
      <x:c r="FJ37" s="59"/>
      <x:c r="FK37" s="59"/>
      <x:c r="FL37" s="59"/>
      <x:c r="FM37" s="59"/>
      <x:c r="FN37" s="59"/>
      <x:c r="FO37" s="59"/>
      <x:c r="FP37" s="59"/>
      <x:c r="FQ37" s="59"/>
      <x:c r="FR37" s="59"/>
      <x:c r="FS37" s="59"/>
      <x:c r="FT37" s="59"/>
      <x:c r="FU37" s="59"/>
      <x:c r="FV37" s="59"/>
      <x:c r="FW37" s="59"/>
      <x:c r="FX37" s="59"/>
      <x:c r="FY37" s="59"/>
      <x:c r="FZ37" s="59"/>
      <x:c r="GA37" s="59"/>
      <x:c r="GB37" s="59"/>
      <x:c r="GC37" s="59"/>
      <x:c r="GD37" s="59"/>
      <x:c r="GE37" s="59"/>
      <x:c r="GF37" s="59"/>
      <x:c r="GG37" s="59"/>
      <x:c r="GH37" s="59"/>
      <x:c r="GI37" s="59"/>
      <x:c r="GJ37" s="59"/>
      <x:c r="GK37" s="59"/>
      <x:c r="GL37" s="59"/>
      <x:c r="GM37" s="59"/>
      <x:c r="GN37" s="59"/>
      <x:c r="GO37" s="59"/>
      <x:c r="GP37" s="59"/>
      <x:c r="GQ37" s="59"/>
      <x:c r="GR37" s="59"/>
      <x:c r="GS37" s="59"/>
      <x:c r="GT37" s="59"/>
      <x:c r="GU37" s="59"/>
      <x:c r="GV37" s="59"/>
      <x:c r="GW37" s="59"/>
      <x:c r="GX37" s="59"/>
      <x:c r="GY37" s="59"/>
      <x:c r="GZ37" s="59"/>
      <x:c r="HA37" s="59"/>
      <x:c r="HB37" s="59"/>
      <x:c r="HC37" s="59"/>
      <x:c r="HD37" s="59"/>
      <x:c r="HE37" s="59"/>
      <x:c r="HF37" s="59"/>
      <x:c r="HG37" s="59"/>
      <x:c r="HH37" s="59"/>
      <x:c r="HI37" s="59"/>
      <x:c r="HJ37" s="59"/>
      <x:c r="HK37" s="59"/>
      <x:c r="HL37" s="59"/>
      <x:c r="HM37" s="59"/>
      <x:c r="HN37" s="59"/>
      <x:c r="HO37" s="59"/>
      <x:c r="HP37" s="59"/>
      <x:c r="HQ37" s="59"/>
      <x:c r="HR37" s="59"/>
      <x:c r="HS37" s="59"/>
      <x:c r="HT37" s="59"/>
      <x:c r="HU37" s="59"/>
      <x:c r="HV37" s="59"/>
      <x:c r="HW37" s="59"/>
      <x:c r="HX37" s="59"/>
      <x:c r="HY37" s="59"/>
      <x:c r="HZ37" s="59"/>
      <x:c r="IA37" s="59"/>
      <x:c r="IB37" s="59"/>
      <x:c r="IC37" s="59"/>
      <x:c r="ID37" s="59"/>
      <x:c r="IE37" s="59"/>
      <x:c r="IF37" s="59"/>
      <x:c r="IG37" s="59"/>
      <x:c r="IH37" s="59"/>
      <x:c r="II37" s="59"/>
      <x:c r="IJ37" s="59"/>
      <x:c r="IK37" s="59"/>
      <x:c r="IL37" s="59"/>
      <x:c r="IM37" s="59"/>
      <x:c r="IN37" s="59"/>
      <x:c r="IO37" s="59"/>
      <x:c r="IP37" s="59"/>
      <x:c r="IQ37" s="59"/>
      <x:c r="IR37" s="59"/>
      <x:c r="IS37" s="59"/>
      <x:c r="IT37" s="59"/>
      <x:c r="IU37" s="59"/>
      <x:c r="IV37" s="59"/>
      <x:c r="IW37" s="59"/>
      <x:c r="IX37" s="59"/>
      <x:c r="IY37" s="59"/>
      <x:c r="IZ37" s="59"/>
      <x:c r="JA37" s="59"/>
      <x:c r="JB37" s="59"/>
      <x:c r="JC37" s="59"/>
      <x:c r="JD37" s="59"/>
      <x:c r="JE37" s="59"/>
      <x:c r="JF37" s="59"/>
      <x:c r="JG37" s="59"/>
      <x:c r="JH37" s="59"/>
      <x:c r="JI37" s="59"/>
      <x:c r="JJ37" s="59"/>
      <x:c r="JK37" s="59"/>
      <x:c r="JL37" s="59"/>
      <x:c r="JM37" s="59"/>
      <x:c r="JN37" s="59"/>
      <x:c r="JO37" s="59"/>
      <x:c r="JP37" s="59"/>
      <x:c r="JQ37" s="59"/>
      <x:c r="JR37" s="59"/>
      <x:c r="JS37" s="59"/>
      <x:c r="JT37" s="59"/>
      <x:c r="JU37" s="59"/>
      <x:c r="JV37" s="59"/>
      <x:c r="JW37" s="59"/>
      <x:c r="JX37" s="59"/>
      <x:c r="JY37" s="59"/>
      <x:c r="JZ37" s="59"/>
      <x:c r="KA37" s="59"/>
      <x:c r="KB37" s="59"/>
      <x:c r="KC37" s="59"/>
      <x:c r="KD37" s="59"/>
      <x:c r="KE37" s="59"/>
      <x:c r="KF37" s="59"/>
      <x:c r="KG37" s="59"/>
      <x:c r="KH37" s="59"/>
      <x:c r="KI37" s="59"/>
      <x:c r="KJ37" s="59"/>
      <x:c r="KK37" s="59"/>
      <x:c r="KL37" s="59"/>
      <x:c r="KM37" s="59"/>
      <x:c r="KN37" s="59"/>
      <x:c r="KO37" s="59"/>
      <x:c r="KP37" s="59"/>
      <x:c r="KQ37" s="59"/>
      <x:c r="KR37" s="59"/>
      <x:c r="KS37" s="59"/>
      <x:c r="KT37" s="59"/>
      <x:c r="KU37" s="59"/>
      <x:c r="KV37" s="59"/>
      <x:c r="KW37" s="59"/>
      <x:c r="KX37" s="59"/>
      <x:c r="KY37" s="59"/>
      <x:c r="KZ37" s="59"/>
      <x:c r="LA37" s="59"/>
      <x:c r="LB37" s="59"/>
      <x:c r="LC37" s="59"/>
      <x:c r="LD37" s="59"/>
      <x:c r="LE37" s="59"/>
      <x:c r="LF37" s="59"/>
      <x:c r="LG37" s="59"/>
      <x:c r="LH37" s="59"/>
      <x:c r="LI37" s="59"/>
      <x:c r="LJ37" s="59"/>
      <x:c r="LK37" s="59"/>
      <x:c r="LL37" s="59"/>
      <x:c r="LM37" s="59"/>
      <x:c r="LN37" s="59"/>
      <x:c r="LO37" s="59"/>
      <x:c r="LP37" s="59"/>
      <x:c r="LQ37" s="59"/>
      <x:c r="LR37" s="59"/>
      <x:c r="LS37" s="59"/>
      <x:c r="LT37" s="59"/>
      <x:c r="LU37" s="59"/>
      <x:c r="LV37" s="59"/>
      <x:c r="LW37" s="59"/>
      <x:c r="LX37" s="59"/>
      <x:c r="LY37" s="59"/>
      <x:c r="LZ37" s="59"/>
      <x:c r="MA37" s="59"/>
      <x:c r="MB37" s="59"/>
      <x:c r="MC37" s="59"/>
      <x:c r="MD37" s="59"/>
      <x:c r="ME37" s="59"/>
      <x:c r="MF37" s="59"/>
      <x:c r="MG37" s="59"/>
      <x:c r="MH37" s="59"/>
      <x:c r="MI37" s="59"/>
      <x:c r="MJ37" s="59"/>
      <x:c r="MK37" s="59"/>
      <x:c r="ML37" s="59"/>
      <x:c r="MM37" s="59"/>
      <x:c r="MN37" s="59"/>
      <x:c r="MO37" s="59"/>
      <x:c r="MP37" s="59"/>
      <x:c r="MQ37" s="59"/>
      <x:c r="MR37" s="59"/>
      <x:c r="MS37" s="59"/>
      <x:c r="MT37" s="59"/>
      <x:c r="MU37" s="59"/>
      <x:c r="MV37" s="59"/>
      <x:c r="MW37" s="59"/>
      <x:c r="MX37" s="59"/>
      <x:c r="MY37" s="59"/>
      <x:c r="MZ37" s="59"/>
      <x:c r="NA37" s="59"/>
      <x:c r="NB37" s="59"/>
      <x:c r="NC37" s="59"/>
      <x:c r="ND37" s="59"/>
      <x:c r="NE37" s="59"/>
      <x:c r="NF37" s="59"/>
      <x:c r="NG37" s="59"/>
      <x:c r="NH37" s="59"/>
      <x:c r="NI37" s="59"/>
      <x:c r="NJ37" s="59"/>
      <x:c r="NK37" s="59"/>
      <x:c r="NL37" s="59"/>
      <x:c r="NM37" s="59"/>
      <x:c r="NN37" s="59"/>
      <x:c r="NO37" s="59"/>
      <x:c r="NP37" s="59"/>
      <x:c r="NQ37" s="59"/>
      <x:c r="NR37" s="59"/>
      <x:c r="NS37" s="59"/>
      <x:c r="NT37" s="59"/>
      <x:c r="NU37" s="59"/>
      <x:c r="NV37" s="59"/>
      <x:c r="NW37" s="59"/>
      <x:c r="NX37" s="59"/>
      <x:c r="NY37" s="59"/>
      <x:c r="NZ37" s="59"/>
      <x:c r="OA37" s="59"/>
      <x:c r="OB37" s="59"/>
      <x:c r="OC37" s="59"/>
      <x:c r="OD37" s="59"/>
      <x:c r="OE37" s="59"/>
      <x:c r="OF37" s="59"/>
      <x:c r="OG37" s="59"/>
      <x:c r="OH37" s="59"/>
      <x:c r="OI37" s="59"/>
      <x:c r="OJ37" s="59"/>
      <x:c r="OK37" s="59"/>
      <x:c r="OL37" s="59"/>
      <x:c r="OM37" s="59"/>
      <x:c r="ON37" s="59"/>
      <x:c r="OO37" s="59"/>
      <x:c r="OP37" s="59"/>
      <x:c r="OQ37" s="59"/>
      <x:c r="OR37" s="59"/>
      <x:c r="OS37" s="59"/>
      <x:c r="OT37" s="59"/>
      <x:c r="OU37" s="59"/>
      <x:c r="OV37" s="59"/>
      <x:c r="OW37" s="59"/>
      <x:c r="OX37" s="59"/>
      <x:c r="OY37" s="59"/>
      <x:c r="OZ37" s="59"/>
      <x:c r="PA37" s="59"/>
      <x:c r="PB37" s="59"/>
      <x:c r="PC37" s="59"/>
      <x:c r="PD37" s="59"/>
      <x:c r="PE37" s="59"/>
      <x:c r="PF37" s="59"/>
      <x:c r="PG37" s="59"/>
      <x:c r="PH37" s="59"/>
      <x:c r="PI37" s="59"/>
      <x:c r="PJ37" s="59"/>
      <x:c r="PK37" s="59"/>
      <x:c r="PL37" s="59"/>
      <x:c r="PM37" s="59"/>
      <x:c r="PN37" s="59"/>
      <x:c r="PO37" s="59"/>
      <x:c r="PP37" s="59"/>
      <x:c r="PQ37" s="59"/>
      <x:c r="PR37" s="59"/>
      <x:c r="PS37" s="59"/>
      <x:c r="PT37" s="59"/>
      <x:c r="PU37" s="59"/>
      <x:c r="PV37" s="59"/>
      <x:c r="PW37" s="59"/>
      <x:c r="PX37" s="59"/>
      <x:c r="PY37" s="59"/>
      <x:c r="PZ37" s="59"/>
      <x:c r="QA37" s="59"/>
      <x:c r="QB37" s="59"/>
      <x:c r="QC37" s="59"/>
      <x:c r="QD37" s="59"/>
      <x:c r="QE37" s="59"/>
      <x:c r="QF37" s="59"/>
      <x:c r="QG37" s="59"/>
      <x:c r="QH37" s="59"/>
      <x:c r="QI37" s="59"/>
      <x:c r="QJ37" s="59"/>
      <x:c r="QK37" s="59"/>
      <x:c r="QL37" s="59"/>
      <x:c r="QM37" s="59"/>
      <x:c r="QN37" s="59"/>
      <x:c r="QO37" s="59"/>
      <x:c r="QP37" s="59"/>
      <x:c r="QQ37" s="59"/>
      <x:c r="QR37" s="59"/>
      <x:c r="QS37" s="59"/>
      <x:c r="QT37" s="59"/>
      <x:c r="QU37" s="59"/>
      <x:c r="QV37" s="59"/>
      <x:c r="QW37" s="59"/>
      <x:c r="QX37" s="59"/>
      <x:c r="QY37" s="59"/>
      <x:c r="QZ37" s="59"/>
      <x:c r="RA37" s="59"/>
      <x:c r="RB37" s="59"/>
      <x:c r="RC37" s="59"/>
      <x:c r="RD37" s="59"/>
      <x:c r="RE37" s="59"/>
      <x:c r="RF37" s="59"/>
      <x:c r="RG37" s="59"/>
      <x:c r="RH37" s="59"/>
      <x:c r="RI37" s="59"/>
      <x:c r="RJ37" s="59"/>
      <x:c r="RK37" s="59"/>
      <x:c r="RL37" s="59"/>
      <x:c r="RM37" s="59"/>
      <x:c r="RN37" s="59"/>
      <x:c r="RO37" s="59"/>
      <x:c r="RP37" s="59"/>
      <x:c r="RQ37" s="59"/>
      <x:c r="RR37" s="59"/>
      <x:c r="RS37" s="59"/>
      <x:c r="RT37" s="59"/>
      <x:c r="RU37" s="59"/>
      <x:c r="RV37" s="59"/>
      <x:c r="RW37" s="59"/>
      <x:c r="RX37" s="59"/>
      <x:c r="RY37" s="59"/>
      <x:c r="RZ37" s="59"/>
      <x:c r="SA37" s="59"/>
      <x:c r="SB37" s="59"/>
      <x:c r="SC37" s="59"/>
      <x:c r="SD37" s="59"/>
      <x:c r="SE37" s="59"/>
      <x:c r="SF37" s="59"/>
    </x:row>
    <x:row r="38" ht="27" customHeight="1">
      <x:c r="A38" s="61" t="s">
        <x:v>73</x:v>
      </x:c>
      <x:c r="B38" s="66" t="s">
        <x:v>74</x:v>
      </x:c>
      <x:c r="C38" s="66"/>
      <x:c r="D38" s="63" t="s">
        <x:v>75</x:v>
      </x:c>
      <x:c r="E38" s="63"/>
      <x:c r="F38" s="63"/>
      <x:c r="G38" s="63" t="s">
        <x:v>76</x:v>
      </x:c>
      <x:c r="H38" s="63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  <x:c r="AA38" s="59"/>
      <x:c r="AB38" s="59"/>
      <x:c r="AC38" s="59"/>
      <x:c r="AD38" s="59"/>
      <x:c r="AE38" s="59"/>
      <x:c r="AF38" s="59"/>
      <x:c r="AG38" s="59"/>
      <x:c r="AH38" s="59"/>
      <x:c r="AI38" s="59"/>
      <x:c r="AJ38" s="59"/>
      <x:c r="AK38" s="59"/>
      <x:c r="AL38" s="59"/>
      <x:c r="AM38" s="59"/>
      <x:c r="AN38" s="59"/>
      <x:c r="AO38" s="59"/>
      <x:c r="AP38" s="59"/>
      <x:c r="AQ38" s="59"/>
      <x:c r="AR38" s="59"/>
      <x:c r="AS38" s="59"/>
      <x:c r="AT38" s="59"/>
      <x:c r="AU38" s="59"/>
      <x:c r="AV38" s="59"/>
      <x:c r="AW38" s="59"/>
      <x:c r="AX38" s="59"/>
      <x:c r="AY38" s="59"/>
      <x:c r="AZ38" s="59"/>
      <x:c r="BA38" s="59"/>
      <x:c r="BB38" s="59"/>
      <x:c r="BC38" s="59"/>
      <x:c r="BD38" s="59"/>
      <x:c r="BE38" s="59"/>
      <x:c r="BF38" s="59"/>
      <x:c r="BG38" s="59"/>
      <x:c r="BH38" s="59"/>
      <x:c r="BI38" s="59"/>
      <x:c r="BJ38" s="59"/>
      <x:c r="BK38" s="59"/>
      <x:c r="BL38" s="59"/>
      <x:c r="BM38" s="59"/>
      <x:c r="BN38" s="59"/>
      <x:c r="BO38" s="59"/>
      <x:c r="BP38" s="59"/>
      <x:c r="BQ38" s="59"/>
      <x:c r="BR38" s="59"/>
      <x:c r="BS38" s="59"/>
      <x:c r="BT38" s="59"/>
      <x:c r="BU38" s="59"/>
      <x:c r="BV38" s="59"/>
      <x:c r="BW38" s="59"/>
      <x:c r="BX38" s="59"/>
      <x:c r="BY38" s="59"/>
      <x:c r="BZ38" s="59"/>
      <x:c r="CA38" s="59"/>
      <x:c r="CB38" s="59"/>
      <x:c r="CC38" s="59"/>
      <x:c r="CD38" s="59"/>
      <x:c r="CE38" s="59"/>
      <x:c r="CF38" s="59"/>
      <x:c r="CG38" s="59"/>
      <x:c r="CH38" s="59"/>
      <x:c r="CI38" s="59"/>
      <x:c r="CJ38" s="59"/>
      <x:c r="CK38" s="59"/>
      <x:c r="CL38" s="59"/>
      <x:c r="CM38" s="59"/>
      <x:c r="CN38" s="59"/>
      <x:c r="CO38" s="59"/>
      <x:c r="CP38" s="59"/>
      <x:c r="CQ38" s="59"/>
      <x:c r="CR38" s="59"/>
      <x:c r="CS38" s="59"/>
      <x:c r="CT38" s="59"/>
      <x:c r="CU38" s="59"/>
      <x:c r="CV38" s="59"/>
      <x:c r="CW38" s="59"/>
      <x:c r="CX38" s="59"/>
      <x:c r="CY38" s="59"/>
      <x:c r="CZ38" s="59"/>
      <x:c r="DA38" s="59"/>
      <x:c r="DB38" s="59"/>
      <x:c r="DC38" s="59"/>
      <x:c r="DD38" s="59"/>
      <x:c r="DE38" s="59"/>
      <x:c r="DF38" s="59"/>
      <x:c r="DG38" s="59"/>
      <x:c r="DH38" s="59"/>
      <x:c r="DI38" s="59"/>
      <x:c r="DJ38" s="59"/>
      <x:c r="DK38" s="59"/>
      <x:c r="DL38" s="59"/>
      <x:c r="DM38" s="59"/>
      <x:c r="DN38" s="59"/>
      <x:c r="DO38" s="59"/>
      <x:c r="DP38" s="59"/>
      <x:c r="DQ38" s="59"/>
      <x:c r="DR38" s="59"/>
      <x:c r="DS38" s="59"/>
      <x:c r="DT38" s="59"/>
      <x:c r="DU38" s="59"/>
      <x:c r="DV38" s="59"/>
      <x:c r="DW38" s="59"/>
      <x:c r="DX38" s="59"/>
      <x:c r="DY38" s="59"/>
      <x:c r="DZ38" s="59"/>
      <x:c r="EA38" s="59"/>
      <x:c r="EB38" s="59"/>
      <x:c r="EC38" s="59"/>
      <x:c r="ED38" s="59"/>
      <x:c r="EE38" s="59"/>
      <x:c r="EF38" s="59"/>
      <x:c r="EG38" s="59"/>
      <x:c r="EH38" s="59"/>
      <x:c r="EI38" s="59"/>
      <x:c r="EJ38" s="59"/>
      <x:c r="EK38" s="59"/>
      <x:c r="EL38" s="59"/>
      <x:c r="EM38" s="59"/>
      <x:c r="EN38" s="59"/>
      <x:c r="EO38" s="59"/>
      <x:c r="EP38" s="59"/>
      <x:c r="EQ38" s="59"/>
      <x:c r="ER38" s="59"/>
      <x:c r="ES38" s="59"/>
      <x:c r="ET38" s="59"/>
      <x:c r="EU38" s="59"/>
      <x:c r="EV38" s="59"/>
      <x:c r="EW38" s="59"/>
      <x:c r="EX38" s="59"/>
      <x:c r="EY38" s="59"/>
      <x:c r="EZ38" s="59"/>
      <x:c r="FA38" s="59"/>
      <x:c r="FB38" s="59"/>
      <x:c r="FC38" s="59"/>
      <x:c r="FD38" s="59"/>
      <x:c r="FE38" s="59"/>
      <x:c r="FF38" s="59"/>
      <x:c r="FG38" s="59"/>
      <x:c r="FH38" s="59"/>
      <x:c r="FI38" s="59"/>
      <x:c r="FJ38" s="59"/>
      <x:c r="FK38" s="59"/>
      <x:c r="FL38" s="59"/>
      <x:c r="FM38" s="59"/>
      <x:c r="FN38" s="59"/>
      <x:c r="FO38" s="59"/>
      <x:c r="FP38" s="59"/>
      <x:c r="FQ38" s="59"/>
      <x:c r="FR38" s="59"/>
      <x:c r="FS38" s="59"/>
      <x:c r="FT38" s="59"/>
      <x:c r="FU38" s="59"/>
      <x:c r="FV38" s="59"/>
      <x:c r="FW38" s="59"/>
      <x:c r="FX38" s="59"/>
      <x:c r="FY38" s="59"/>
      <x:c r="FZ38" s="59"/>
      <x:c r="GA38" s="59"/>
      <x:c r="GB38" s="59"/>
      <x:c r="GC38" s="59"/>
      <x:c r="GD38" s="59"/>
      <x:c r="GE38" s="59"/>
      <x:c r="GF38" s="59"/>
      <x:c r="GG38" s="59"/>
      <x:c r="GH38" s="59"/>
      <x:c r="GI38" s="59"/>
      <x:c r="GJ38" s="59"/>
      <x:c r="GK38" s="59"/>
      <x:c r="GL38" s="59"/>
      <x:c r="GM38" s="59"/>
      <x:c r="GN38" s="59"/>
      <x:c r="GO38" s="59"/>
      <x:c r="GP38" s="59"/>
      <x:c r="GQ38" s="59"/>
      <x:c r="GR38" s="59"/>
      <x:c r="GS38" s="59"/>
      <x:c r="GT38" s="59"/>
      <x:c r="GU38" s="59"/>
      <x:c r="GV38" s="59"/>
      <x:c r="GW38" s="59"/>
      <x:c r="GX38" s="59"/>
      <x:c r="GY38" s="59"/>
      <x:c r="GZ38" s="59"/>
      <x:c r="HA38" s="59"/>
      <x:c r="HB38" s="59"/>
      <x:c r="HC38" s="59"/>
      <x:c r="HD38" s="59"/>
      <x:c r="HE38" s="59"/>
      <x:c r="HF38" s="59"/>
      <x:c r="HG38" s="59"/>
      <x:c r="HH38" s="59"/>
      <x:c r="HI38" s="59"/>
      <x:c r="HJ38" s="59"/>
      <x:c r="HK38" s="59"/>
      <x:c r="HL38" s="59"/>
      <x:c r="HM38" s="59"/>
      <x:c r="HN38" s="59"/>
      <x:c r="HO38" s="59"/>
      <x:c r="HP38" s="59"/>
      <x:c r="HQ38" s="59"/>
      <x:c r="HR38" s="59"/>
      <x:c r="HS38" s="59"/>
      <x:c r="HT38" s="59"/>
      <x:c r="HU38" s="59"/>
      <x:c r="HV38" s="59"/>
      <x:c r="HW38" s="59"/>
      <x:c r="HX38" s="59"/>
      <x:c r="HY38" s="59"/>
      <x:c r="HZ38" s="59"/>
      <x:c r="IA38" s="59"/>
      <x:c r="IB38" s="59"/>
      <x:c r="IC38" s="59"/>
      <x:c r="ID38" s="59"/>
      <x:c r="IE38" s="59"/>
      <x:c r="IF38" s="59"/>
      <x:c r="IG38" s="59"/>
      <x:c r="IH38" s="59"/>
      <x:c r="II38" s="59"/>
      <x:c r="IJ38" s="59"/>
      <x:c r="IK38" s="59"/>
      <x:c r="IL38" s="59"/>
      <x:c r="IM38" s="59"/>
      <x:c r="IN38" s="59"/>
      <x:c r="IO38" s="59"/>
      <x:c r="IP38" s="59"/>
      <x:c r="IQ38" s="59"/>
      <x:c r="IR38" s="59"/>
      <x:c r="IS38" s="59"/>
      <x:c r="IT38" s="59"/>
      <x:c r="IU38" s="59"/>
      <x:c r="IV38" s="59"/>
      <x:c r="IW38" s="59"/>
      <x:c r="IX38" s="59"/>
      <x:c r="IY38" s="59"/>
      <x:c r="IZ38" s="59"/>
      <x:c r="JA38" s="59"/>
      <x:c r="JB38" s="59"/>
      <x:c r="JC38" s="59"/>
      <x:c r="JD38" s="59"/>
      <x:c r="JE38" s="59"/>
      <x:c r="JF38" s="59"/>
      <x:c r="JG38" s="59"/>
      <x:c r="JH38" s="59"/>
      <x:c r="JI38" s="59"/>
      <x:c r="JJ38" s="59"/>
      <x:c r="JK38" s="59"/>
      <x:c r="JL38" s="59"/>
      <x:c r="JM38" s="59"/>
      <x:c r="JN38" s="59"/>
      <x:c r="JO38" s="59"/>
      <x:c r="JP38" s="59"/>
      <x:c r="JQ38" s="59"/>
      <x:c r="JR38" s="59"/>
      <x:c r="JS38" s="59"/>
      <x:c r="JT38" s="59"/>
      <x:c r="JU38" s="59"/>
      <x:c r="JV38" s="59"/>
      <x:c r="JW38" s="59"/>
      <x:c r="JX38" s="59"/>
      <x:c r="JY38" s="59"/>
      <x:c r="JZ38" s="59"/>
      <x:c r="KA38" s="59"/>
      <x:c r="KB38" s="59"/>
      <x:c r="KC38" s="59"/>
      <x:c r="KD38" s="59"/>
      <x:c r="KE38" s="59"/>
      <x:c r="KF38" s="59"/>
      <x:c r="KG38" s="59"/>
      <x:c r="KH38" s="59"/>
      <x:c r="KI38" s="59"/>
      <x:c r="KJ38" s="59"/>
      <x:c r="KK38" s="59"/>
      <x:c r="KL38" s="59"/>
      <x:c r="KM38" s="59"/>
      <x:c r="KN38" s="59"/>
      <x:c r="KO38" s="59"/>
      <x:c r="KP38" s="59"/>
      <x:c r="KQ38" s="59"/>
      <x:c r="KR38" s="59"/>
      <x:c r="KS38" s="59"/>
      <x:c r="KT38" s="59"/>
      <x:c r="KU38" s="59"/>
      <x:c r="KV38" s="59"/>
      <x:c r="KW38" s="59"/>
      <x:c r="KX38" s="59"/>
      <x:c r="KY38" s="59"/>
      <x:c r="KZ38" s="59"/>
      <x:c r="LA38" s="59"/>
      <x:c r="LB38" s="59"/>
      <x:c r="LC38" s="59"/>
      <x:c r="LD38" s="59"/>
      <x:c r="LE38" s="59"/>
      <x:c r="LF38" s="59"/>
      <x:c r="LG38" s="59"/>
      <x:c r="LH38" s="59"/>
      <x:c r="LI38" s="59"/>
      <x:c r="LJ38" s="59"/>
      <x:c r="LK38" s="59"/>
      <x:c r="LL38" s="59"/>
      <x:c r="LM38" s="59"/>
      <x:c r="LN38" s="59"/>
      <x:c r="LO38" s="59"/>
      <x:c r="LP38" s="59"/>
      <x:c r="LQ38" s="59"/>
      <x:c r="LR38" s="59"/>
      <x:c r="LS38" s="59"/>
      <x:c r="LT38" s="59"/>
      <x:c r="LU38" s="59"/>
      <x:c r="LV38" s="59"/>
      <x:c r="LW38" s="59"/>
      <x:c r="LX38" s="59"/>
      <x:c r="LY38" s="59"/>
      <x:c r="LZ38" s="59"/>
      <x:c r="MA38" s="59"/>
      <x:c r="MB38" s="59"/>
      <x:c r="MC38" s="59"/>
      <x:c r="MD38" s="59"/>
      <x:c r="ME38" s="59"/>
      <x:c r="MF38" s="59"/>
      <x:c r="MG38" s="59"/>
      <x:c r="MH38" s="59"/>
      <x:c r="MI38" s="59"/>
      <x:c r="MJ38" s="59"/>
      <x:c r="MK38" s="59"/>
      <x:c r="ML38" s="59"/>
      <x:c r="MM38" s="59"/>
      <x:c r="MN38" s="59"/>
      <x:c r="MO38" s="59"/>
      <x:c r="MP38" s="59"/>
      <x:c r="MQ38" s="59"/>
      <x:c r="MR38" s="59"/>
      <x:c r="MS38" s="59"/>
      <x:c r="MT38" s="59"/>
      <x:c r="MU38" s="59"/>
      <x:c r="MV38" s="59"/>
      <x:c r="MW38" s="59"/>
      <x:c r="MX38" s="59"/>
      <x:c r="MY38" s="59"/>
      <x:c r="MZ38" s="59"/>
      <x:c r="NA38" s="59"/>
      <x:c r="NB38" s="59"/>
      <x:c r="NC38" s="59"/>
      <x:c r="ND38" s="59"/>
      <x:c r="NE38" s="59"/>
      <x:c r="NF38" s="59"/>
      <x:c r="NG38" s="59"/>
      <x:c r="NH38" s="59"/>
      <x:c r="NI38" s="59"/>
      <x:c r="NJ38" s="59"/>
      <x:c r="NK38" s="59"/>
      <x:c r="NL38" s="59"/>
      <x:c r="NM38" s="59"/>
      <x:c r="NN38" s="59"/>
      <x:c r="NO38" s="59"/>
      <x:c r="NP38" s="59"/>
      <x:c r="NQ38" s="59"/>
      <x:c r="NR38" s="59"/>
      <x:c r="NS38" s="59"/>
      <x:c r="NT38" s="59"/>
      <x:c r="NU38" s="59"/>
      <x:c r="NV38" s="59"/>
      <x:c r="NW38" s="59"/>
      <x:c r="NX38" s="59"/>
      <x:c r="NY38" s="59"/>
      <x:c r="NZ38" s="59"/>
      <x:c r="OA38" s="59"/>
      <x:c r="OB38" s="59"/>
      <x:c r="OC38" s="59"/>
      <x:c r="OD38" s="59"/>
      <x:c r="OE38" s="59"/>
      <x:c r="OF38" s="59"/>
      <x:c r="OG38" s="59"/>
      <x:c r="OH38" s="59"/>
      <x:c r="OI38" s="59"/>
      <x:c r="OJ38" s="59"/>
      <x:c r="OK38" s="59"/>
      <x:c r="OL38" s="59"/>
      <x:c r="OM38" s="59"/>
      <x:c r="ON38" s="59"/>
      <x:c r="OO38" s="59"/>
      <x:c r="OP38" s="59"/>
      <x:c r="OQ38" s="59"/>
      <x:c r="OR38" s="59"/>
      <x:c r="OS38" s="59"/>
      <x:c r="OT38" s="59"/>
      <x:c r="OU38" s="59"/>
      <x:c r="OV38" s="59"/>
      <x:c r="OW38" s="59"/>
      <x:c r="OX38" s="59"/>
      <x:c r="OY38" s="59"/>
      <x:c r="OZ38" s="59"/>
      <x:c r="PA38" s="59"/>
      <x:c r="PB38" s="59"/>
      <x:c r="PC38" s="59"/>
      <x:c r="PD38" s="59"/>
      <x:c r="PE38" s="59"/>
      <x:c r="PF38" s="59"/>
      <x:c r="PG38" s="59"/>
      <x:c r="PH38" s="59"/>
      <x:c r="PI38" s="59"/>
      <x:c r="PJ38" s="59"/>
      <x:c r="PK38" s="59"/>
      <x:c r="PL38" s="59"/>
      <x:c r="PM38" s="59"/>
      <x:c r="PN38" s="59"/>
      <x:c r="PO38" s="59"/>
      <x:c r="PP38" s="59"/>
      <x:c r="PQ38" s="59"/>
      <x:c r="PR38" s="59"/>
      <x:c r="PS38" s="59"/>
      <x:c r="PT38" s="59"/>
      <x:c r="PU38" s="59"/>
      <x:c r="PV38" s="59"/>
      <x:c r="PW38" s="59"/>
      <x:c r="PX38" s="59"/>
      <x:c r="PY38" s="59"/>
      <x:c r="PZ38" s="59"/>
      <x:c r="QA38" s="59"/>
      <x:c r="QB38" s="59"/>
      <x:c r="QC38" s="59"/>
      <x:c r="QD38" s="59"/>
      <x:c r="QE38" s="59"/>
      <x:c r="QF38" s="59"/>
      <x:c r="QG38" s="59"/>
      <x:c r="QH38" s="59"/>
      <x:c r="QI38" s="59"/>
      <x:c r="QJ38" s="59"/>
      <x:c r="QK38" s="59"/>
      <x:c r="QL38" s="59"/>
      <x:c r="QM38" s="59"/>
      <x:c r="QN38" s="59"/>
      <x:c r="QO38" s="59"/>
      <x:c r="QP38" s="59"/>
      <x:c r="QQ38" s="59"/>
      <x:c r="QR38" s="59"/>
      <x:c r="QS38" s="59"/>
      <x:c r="QT38" s="59"/>
      <x:c r="QU38" s="59"/>
      <x:c r="QV38" s="59"/>
      <x:c r="QW38" s="59"/>
      <x:c r="QX38" s="59"/>
      <x:c r="QY38" s="59"/>
      <x:c r="QZ38" s="59"/>
      <x:c r="RA38" s="59"/>
      <x:c r="RB38" s="59"/>
      <x:c r="RC38" s="59"/>
      <x:c r="RD38" s="59"/>
      <x:c r="RE38" s="59"/>
      <x:c r="RF38" s="59"/>
      <x:c r="RG38" s="59"/>
      <x:c r="RH38" s="59"/>
      <x:c r="RI38" s="59"/>
      <x:c r="RJ38" s="59"/>
      <x:c r="RK38" s="59"/>
      <x:c r="RL38" s="59"/>
      <x:c r="RM38" s="59"/>
      <x:c r="RN38" s="59"/>
      <x:c r="RO38" s="59"/>
      <x:c r="RP38" s="59"/>
      <x:c r="RQ38" s="59"/>
      <x:c r="RR38" s="59"/>
      <x:c r="RS38" s="59"/>
      <x:c r="RT38" s="59"/>
      <x:c r="RU38" s="59"/>
      <x:c r="RV38" s="59"/>
      <x:c r="RW38" s="59"/>
      <x:c r="RX38" s="59"/>
      <x:c r="RY38" s="59"/>
      <x:c r="RZ38" s="59"/>
      <x:c r="SA38" s="59"/>
      <x:c r="SB38" s="59"/>
      <x:c r="SC38" s="59"/>
      <x:c r="SD38" s="59"/>
      <x:c r="SE38" s="59"/>
      <x:c r="SF38" s="59"/>
    </x:row>
    <x:row r="39">
      <x:c r="A39" s="61" t="s">
        <x:v>77</x:v>
      </x:c>
      <x:c r="B39" s="66" t="s">
        <x:v>78</x:v>
      </x:c>
      <x:c r="C39" s="66"/>
      <x:c r="D39" s="63" t="s">
        <x:v>79</x:v>
      </x:c>
      <x:c r="E39" s="63"/>
      <x:c r="F39" s="63"/>
      <x:c r="G39" s="63" t="s">
        <x:v>80</x:v>
      </x:c>
      <x:c r="H39" s="63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  <x:c r="AA39" s="59"/>
      <x:c r="AB39" s="59"/>
      <x:c r="AC39" s="59"/>
      <x:c r="AD39" s="59"/>
      <x:c r="AE39" s="59"/>
      <x:c r="AF39" s="59"/>
      <x:c r="AG39" s="59"/>
      <x:c r="AH39" s="59"/>
      <x:c r="AI39" s="59"/>
      <x:c r="AJ39" s="59"/>
      <x:c r="AK39" s="59"/>
      <x:c r="AL39" s="59"/>
      <x:c r="AM39" s="59"/>
      <x:c r="AN39" s="59"/>
      <x:c r="AO39" s="59"/>
      <x:c r="AP39" s="59"/>
      <x:c r="AQ39" s="59"/>
      <x:c r="AR39" s="59"/>
      <x:c r="AS39" s="59"/>
      <x:c r="AT39" s="59"/>
      <x:c r="AU39" s="59"/>
      <x:c r="AV39" s="59"/>
      <x:c r="AW39" s="59"/>
      <x:c r="AX39" s="59"/>
      <x:c r="AY39" s="59"/>
      <x:c r="AZ39" s="59"/>
      <x:c r="BA39" s="59"/>
      <x:c r="BB39" s="59"/>
      <x:c r="BC39" s="59"/>
      <x:c r="BD39" s="59"/>
      <x:c r="BE39" s="59"/>
      <x:c r="BF39" s="59"/>
      <x:c r="BG39" s="59"/>
      <x:c r="BH39" s="59"/>
      <x:c r="BI39" s="59"/>
      <x:c r="BJ39" s="59"/>
      <x:c r="BK39" s="59"/>
      <x:c r="BL39" s="59"/>
      <x:c r="BM39" s="59"/>
      <x:c r="BN39" s="59"/>
      <x:c r="BO39" s="59"/>
      <x:c r="BP39" s="59"/>
      <x:c r="BQ39" s="59"/>
      <x:c r="BR39" s="59"/>
      <x:c r="BS39" s="59"/>
      <x:c r="BT39" s="59"/>
      <x:c r="BU39" s="59"/>
      <x:c r="BV39" s="59"/>
      <x:c r="BW39" s="59"/>
      <x:c r="BX39" s="59"/>
      <x:c r="BY39" s="59"/>
      <x:c r="BZ39" s="59"/>
      <x:c r="CA39" s="59"/>
      <x:c r="CB39" s="59"/>
      <x:c r="CC39" s="59"/>
      <x:c r="CD39" s="59"/>
      <x:c r="CE39" s="59"/>
      <x:c r="CF39" s="59"/>
      <x:c r="CG39" s="59"/>
      <x:c r="CH39" s="59"/>
      <x:c r="CI39" s="59"/>
      <x:c r="CJ39" s="59"/>
      <x:c r="CK39" s="59"/>
      <x:c r="CL39" s="59"/>
      <x:c r="CM39" s="59"/>
      <x:c r="CN39" s="59"/>
      <x:c r="CO39" s="59"/>
      <x:c r="CP39" s="59"/>
      <x:c r="CQ39" s="59"/>
      <x:c r="CR39" s="59"/>
      <x:c r="CS39" s="59"/>
      <x:c r="CT39" s="59"/>
      <x:c r="CU39" s="59"/>
      <x:c r="CV39" s="59"/>
      <x:c r="CW39" s="59"/>
      <x:c r="CX39" s="59"/>
      <x:c r="CY39" s="59"/>
      <x:c r="CZ39" s="59"/>
      <x:c r="DA39" s="59"/>
      <x:c r="DB39" s="59"/>
      <x:c r="DC39" s="59"/>
      <x:c r="DD39" s="59"/>
      <x:c r="DE39" s="59"/>
      <x:c r="DF39" s="59"/>
      <x:c r="DG39" s="59"/>
      <x:c r="DH39" s="59"/>
      <x:c r="DI39" s="59"/>
      <x:c r="DJ39" s="59"/>
      <x:c r="DK39" s="59"/>
      <x:c r="DL39" s="59"/>
      <x:c r="DM39" s="59"/>
      <x:c r="DN39" s="59"/>
      <x:c r="DO39" s="59"/>
      <x:c r="DP39" s="59"/>
      <x:c r="DQ39" s="59"/>
      <x:c r="DR39" s="59"/>
      <x:c r="DS39" s="59"/>
      <x:c r="DT39" s="59"/>
      <x:c r="DU39" s="59"/>
      <x:c r="DV39" s="59"/>
      <x:c r="DW39" s="59"/>
      <x:c r="DX39" s="59"/>
      <x:c r="DY39" s="59"/>
      <x:c r="DZ39" s="59"/>
      <x:c r="EA39" s="59"/>
      <x:c r="EB39" s="59"/>
      <x:c r="EC39" s="59"/>
      <x:c r="ED39" s="59"/>
      <x:c r="EE39" s="59"/>
      <x:c r="EF39" s="59"/>
      <x:c r="EG39" s="59"/>
      <x:c r="EH39" s="59"/>
      <x:c r="EI39" s="59"/>
      <x:c r="EJ39" s="59"/>
      <x:c r="EK39" s="59"/>
      <x:c r="EL39" s="59"/>
      <x:c r="EM39" s="59"/>
      <x:c r="EN39" s="59"/>
      <x:c r="EO39" s="59"/>
      <x:c r="EP39" s="59"/>
      <x:c r="EQ39" s="59"/>
      <x:c r="ER39" s="59"/>
      <x:c r="ES39" s="59"/>
      <x:c r="ET39" s="59"/>
      <x:c r="EU39" s="59"/>
      <x:c r="EV39" s="59"/>
      <x:c r="EW39" s="59"/>
      <x:c r="EX39" s="59"/>
      <x:c r="EY39" s="59"/>
      <x:c r="EZ39" s="59"/>
      <x:c r="FA39" s="59"/>
      <x:c r="FB39" s="59"/>
      <x:c r="FC39" s="59"/>
      <x:c r="FD39" s="59"/>
      <x:c r="FE39" s="59"/>
      <x:c r="FF39" s="59"/>
      <x:c r="FG39" s="59"/>
      <x:c r="FH39" s="59"/>
      <x:c r="FI39" s="59"/>
      <x:c r="FJ39" s="59"/>
      <x:c r="FK39" s="59"/>
      <x:c r="FL39" s="59"/>
      <x:c r="FM39" s="59"/>
      <x:c r="FN39" s="59"/>
      <x:c r="FO39" s="59"/>
      <x:c r="FP39" s="59"/>
      <x:c r="FQ39" s="59"/>
      <x:c r="FR39" s="59"/>
      <x:c r="FS39" s="59"/>
      <x:c r="FT39" s="59"/>
      <x:c r="FU39" s="59"/>
      <x:c r="FV39" s="59"/>
      <x:c r="FW39" s="59"/>
      <x:c r="FX39" s="59"/>
      <x:c r="FY39" s="59"/>
      <x:c r="FZ39" s="59"/>
      <x:c r="GA39" s="59"/>
      <x:c r="GB39" s="59"/>
      <x:c r="GC39" s="59"/>
      <x:c r="GD39" s="59"/>
      <x:c r="GE39" s="59"/>
      <x:c r="GF39" s="59"/>
      <x:c r="GG39" s="59"/>
      <x:c r="GH39" s="59"/>
      <x:c r="GI39" s="59"/>
      <x:c r="GJ39" s="59"/>
      <x:c r="GK39" s="59"/>
      <x:c r="GL39" s="59"/>
      <x:c r="GM39" s="59"/>
      <x:c r="GN39" s="59"/>
      <x:c r="GO39" s="59"/>
      <x:c r="GP39" s="59"/>
      <x:c r="GQ39" s="59"/>
      <x:c r="GR39" s="59"/>
      <x:c r="GS39" s="59"/>
      <x:c r="GT39" s="59"/>
      <x:c r="GU39" s="59"/>
      <x:c r="GV39" s="59"/>
      <x:c r="GW39" s="59"/>
      <x:c r="GX39" s="59"/>
      <x:c r="GY39" s="59"/>
      <x:c r="GZ39" s="59"/>
      <x:c r="HA39" s="59"/>
      <x:c r="HB39" s="59"/>
      <x:c r="HC39" s="59"/>
      <x:c r="HD39" s="59"/>
      <x:c r="HE39" s="59"/>
      <x:c r="HF39" s="59"/>
      <x:c r="HG39" s="59"/>
      <x:c r="HH39" s="59"/>
      <x:c r="HI39" s="59"/>
      <x:c r="HJ39" s="59"/>
      <x:c r="HK39" s="59"/>
      <x:c r="HL39" s="59"/>
      <x:c r="HM39" s="59"/>
      <x:c r="HN39" s="59"/>
      <x:c r="HO39" s="59"/>
      <x:c r="HP39" s="59"/>
      <x:c r="HQ39" s="59"/>
      <x:c r="HR39" s="59"/>
      <x:c r="HS39" s="59"/>
      <x:c r="HT39" s="59"/>
      <x:c r="HU39" s="59"/>
      <x:c r="HV39" s="59"/>
      <x:c r="HW39" s="59"/>
      <x:c r="HX39" s="59"/>
      <x:c r="HY39" s="59"/>
      <x:c r="HZ39" s="59"/>
      <x:c r="IA39" s="59"/>
      <x:c r="IB39" s="59"/>
      <x:c r="IC39" s="59"/>
      <x:c r="ID39" s="59"/>
      <x:c r="IE39" s="59"/>
      <x:c r="IF39" s="59"/>
      <x:c r="IG39" s="59"/>
      <x:c r="IH39" s="59"/>
      <x:c r="II39" s="59"/>
      <x:c r="IJ39" s="59"/>
      <x:c r="IK39" s="59"/>
      <x:c r="IL39" s="59"/>
      <x:c r="IM39" s="59"/>
      <x:c r="IN39" s="59"/>
      <x:c r="IO39" s="59"/>
      <x:c r="IP39" s="59"/>
      <x:c r="IQ39" s="59"/>
      <x:c r="IR39" s="59"/>
      <x:c r="IS39" s="59"/>
      <x:c r="IT39" s="59"/>
      <x:c r="IU39" s="59"/>
      <x:c r="IV39" s="59"/>
      <x:c r="IW39" s="59"/>
      <x:c r="IX39" s="59"/>
      <x:c r="IY39" s="59"/>
      <x:c r="IZ39" s="59"/>
      <x:c r="JA39" s="59"/>
      <x:c r="JB39" s="59"/>
      <x:c r="JC39" s="59"/>
      <x:c r="JD39" s="59"/>
      <x:c r="JE39" s="59"/>
      <x:c r="JF39" s="59"/>
      <x:c r="JG39" s="59"/>
      <x:c r="JH39" s="59"/>
      <x:c r="JI39" s="59"/>
      <x:c r="JJ39" s="59"/>
      <x:c r="JK39" s="59"/>
      <x:c r="JL39" s="59"/>
      <x:c r="JM39" s="59"/>
      <x:c r="JN39" s="59"/>
      <x:c r="JO39" s="59"/>
      <x:c r="JP39" s="59"/>
      <x:c r="JQ39" s="59"/>
      <x:c r="JR39" s="59"/>
      <x:c r="JS39" s="59"/>
      <x:c r="JT39" s="59"/>
      <x:c r="JU39" s="59"/>
      <x:c r="JV39" s="59"/>
      <x:c r="JW39" s="59"/>
      <x:c r="JX39" s="59"/>
      <x:c r="JY39" s="59"/>
      <x:c r="JZ39" s="59"/>
      <x:c r="KA39" s="59"/>
      <x:c r="KB39" s="59"/>
      <x:c r="KC39" s="59"/>
      <x:c r="KD39" s="59"/>
      <x:c r="KE39" s="59"/>
      <x:c r="KF39" s="59"/>
      <x:c r="KG39" s="59"/>
      <x:c r="KH39" s="59"/>
      <x:c r="KI39" s="59"/>
      <x:c r="KJ39" s="59"/>
      <x:c r="KK39" s="59"/>
      <x:c r="KL39" s="59"/>
      <x:c r="KM39" s="59"/>
      <x:c r="KN39" s="59"/>
      <x:c r="KO39" s="59"/>
      <x:c r="KP39" s="59"/>
      <x:c r="KQ39" s="59"/>
      <x:c r="KR39" s="59"/>
      <x:c r="KS39" s="59"/>
      <x:c r="KT39" s="59"/>
      <x:c r="KU39" s="59"/>
      <x:c r="KV39" s="59"/>
      <x:c r="KW39" s="59"/>
      <x:c r="KX39" s="59"/>
      <x:c r="KY39" s="59"/>
      <x:c r="KZ39" s="59"/>
      <x:c r="LA39" s="59"/>
      <x:c r="LB39" s="59"/>
      <x:c r="LC39" s="59"/>
      <x:c r="LD39" s="59"/>
      <x:c r="LE39" s="59"/>
      <x:c r="LF39" s="59"/>
      <x:c r="LG39" s="59"/>
      <x:c r="LH39" s="59"/>
      <x:c r="LI39" s="59"/>
      <x:c r="LJ39" s="59"/>
      <x:c r="LK39" s="59"/>
      <x:c r="LL39" s="59"/>
      <x:c r="LM39" s="59"/>
      <x:c r="LN39" s="59"/>
      <x:c r="LO39" s="59"/>
      <x:c r="LP39" s="59"/>
      <x:c r="LQ39" s="59"/>
      <x:c r="LR39" s="59"/>
      <x:c r="LS39" s="59"/>
      <x:c r="LT39" s="59"/>
      <x:c r="LU39" s="59"/>
      <x:c r="LV39" s="59"/>
      <x:c r="LW39" s="59"/>
      <x:c r="LX39" s="59"/>
      <x:c r="LY39" s="59"/>
      <x:c r="LZ39" s="59"/>
      <x:c r="MA39" s="59"/>
      <x:c r="MB39" s="59"/>
      <x:c r="MC39" s="59"/>
      <x:c r="MD39" s="59"/>
      <x:c r="ME39" s="59"/>
      <x:c r="MF39" s="59"/>
      <x:c r="MG39" s="59"/>
      <x:c r="MH39" s="59"/>
      <x:c r="MI39" s="59"/>
      <x:c r="MJ39" s="59"/>
      <x:c r="MK39" s="59"/>
      <x:c r="ML39" s="59"/>
      <x:c r="MM39" s="59"/>
      <x:c r="MN39" s="59"/>
      <x:c r="MO39" s="59"/>
      <x:c r="MP39" s="59"/>
      <x:c r="MQ39" s="59"/>
      <x:c r="MR39" s="59"/>
      <x:c r="MS39" s="59"/>
      <x:c r="MT39" s="59"/>
      <x:c r="MU39" s="59"/>
      <x:c r="MV39" s="59"/>
      <x:c r="MW39" s="59"/>
      <x:c r="MX39" s="59"/>
      <x:c r="MY39" s="59"/>
      <x:c r="MZ39" s="59"/>
      <x:c r="NA39" s="59"/>
      <x:c r="NB39" s="59"/>
      <x:c r="NC39" s="59"/>
      <x:c r="ND39" s="59"/>
      <x:c r="NE39" s="59"/>
      <x:c r="NF39" s="59"/>
      <x:c r="NG39" s="59"/>
      <x:c r="NH39" s="59"/>
      <x:c r="NI39" s="59"/>
      <x:c r="NJ39" s="59"/>
      <x:c r="NK39" s="59"/>
      <x:c r="NL39" s="59"/>
      <x:c r="NM39" s="59"/>
      <x:c r="NN39" s="59"/>
      <x:c r="NO39" s="59"/>
      <x:c r="NP39" s="59"/>
      <x:c r="NQ39" s="59"/>
      <x:c r="NR39" s="59"/>
      <x:c r="NS39" s="59"/>
      <x:c r="NT39" s="59"/>
      <x:c r="NU39" s="59"/>
      <x:c r="NV39" s="59"/>
      <x:c r="NW39" s="59"/>
      <x:c r="NX39" s="59"/>
      <x:c r="NY39" s="59"/>
      <x:c r="NZ39" s="59"/>
      <x:c r="OA39" s="59"/>
      <x:c r="OB39" s="59"/>
      <x:c r="OC39" s="59"/>
      <x:c r="OD39" s="59"/>
      <x:c r="OE39" s="59"/>
      <x:c r="OF39" s="59"/>
      <x:c r="OG39" s="59"/>
      <x:c r="OH39" s="59"/>
      <x:c r="OI39" s="59"/>
      <x:c r="OJ39" s="59"/>
      <x:c r="OK39" s="59"/>
      <x:c r="OL39" s="59"/>
      <x:c r="OM39" s="59"/>
      <x:c r="ON39" s="59"/>
      <x:c r="OO39" s="59"/>
      <x:c r="OP39" s="59"/>
      <x:c r="OQ39" s="59"/>
      <x:c r="OR39" s="59"/>
      <x:c r="OS39" s="59"/>
      <x:c r="OT39" s="59"/>
      <x:c r="OU39" s="59"/>
      <x:c r="OV39" s="59"/>
      <x:c r="OW39" s="59"/>
      <x:c r="OX39" s="59"/>
      <x:c r="OY39" s="59"/>
      <x:c r="OZ39" s="59"/>
      <x:c r="PA39" s="59"/>
      <x:c r="PB39" s="59"/>
      <x:c r="PC39" s="59"/>
      <x:c r="PD39" s="59"/>
      <x:c r="PE39" s="59"/>
      <x:c r="PF39" s="59"/>
      <x:c r="PG39" s="59"/>
      <x:c r="PH39" s="59"/>
      <x:c r="PI39" s="59"/>
      <x:c r="PJ39" s="59"/>
      <x:c r="PK39" s="59"/>
      <x:c r="PL39" s="59"/>
      <x:c r="PM39" s="59"/>
      <x:c r="PN39" s="59"/>
      <x:c r="PO39" s="59"/>
      <x:c r="PP39" s="59"/>
      <x:c r="PQ39" s="59"/>
      <x:c r="PR39" s="59"/>
      <x:c r="PS39" s="59"/>
      <x:c r="PT39" s="59"/>
      <x:c r="PU39" s="59"/>
      <x:c r="PV39" s="59"/>
      <x:c r="PW39" s="59"/>
      <x:c r="PX39" s="59"/>
      <x:c r="PY39" s="59"/>
      <x:c r="PZ39" s="59"/>
      <x:c r="QA39" s="59"/>
      <x:c r="QB39" s="59"/>
      <x:c r="QC39" s="59"/>
      <x:c r="QD39" s="59"/>
      <x:c r="QE39" s="59"/>
      <x:c r="QF39" s="59"/>
      <x:c r="QG39" s="59"/>
      <x:c r="QH39" s="59"/>
      <x:c r="QI39" s="59"/>
      <x:c r="QJ39" s="59"/>
      <x:c r="QK39" s="59"/>
      <x:c r="QL39" s="59"/>
      <x:c r="QM39" s="59"/>
      <x:c r="QN39" s="59"/>
      <x:c r="QO39" s="59"/>
      <x:c r="QP39" s="59"/>
      <x:c r="QQ39" s="59"/>
      <x:c r="QR39" s="59"/>
      <x:c r="QS39" s="59"/>
      <x:c r="QT39" s="59"/>
      <x:c r="QU39" s="59"/>
      <x:c r="QV39" s="59"/>
      <x:c r="QW39" s="59"/>
      <x:c r="QX39" s="59"/>
      <x:c r="QY39" s="59"/>
      <x:c r="QZ39" s="59"/>
      <x:c r="RA39" s="59"/>
      <x:c r="RB39" s="59"/>
      <x:c r="RC39" s="59"/>
      <x:c r="RD39" s="59"/>
      <x:c r="RE39" s="59"/>
      <x:c r="RF39" s="59"/>
      <x:c r="RG39" s="59"/>
      <x:c r="RH39" s="59"/>
      <x:c r="RI39" s="59"/>
      <x:c r="RJ39" s="59"/>
      <x:c r="RK39" s="59"/>
      <x:c r="RL39" s="59"/>
      <x:c r="RM39" s="59"/>
      <x:c r="RN39" s="59"/>
      <x:c r="RO39" s="59"/>
      <x:c r="RP39" s="59"/>
      <x:c r="RQ39" s="59"/>
      <x:c r="RR39" s="59"/>
      <x:c r="RS39" s="59"/>
      <x:c r="RT39" s="59"/>
      <x:c r="RU39" s="59"/>
      <x:c r="RV39" s="59"/>
      <x:c r="RW39" s="59"/>
      <x:c r="RX39" s="59"/>
      <x:c r="RY39" s="59"/>
      <x:c r="RZ39" s="59"/>
      <x:c r="SA39" s="59"/>
      <x:c r="SB39" s="59"/>
      <x:c r="SC39" s="59"/>
      <x:c r="SD39" s="59"/>
      <x:c r="SE39" s="59"/>
      <x:c r="SF39" s="59"/>
    </x:row>
    <x:row r="40">
      <x:c r="A40" s="61" t="s">
        <x:v>81</x:v>
      </x:c>
      <x:c r="B40" s="66" t="s">
        <x:v>82</x:v>
      </x:c>
      <x:c r="C40" s="66"/>
      <x:c r="D40" s="63" t="s">
        <x:v>83</x:v>
      </x:c>
      <x:c r="E40" s="63"/>
      <x:c r="F40" s="63"/>
      <x:c r="G40" s="63" t="s">
        <x:v>84</x:v>
      </x:c>
      <x:c r="H40" s="63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  <x:c r="AA40" s="59"/>
      <x:c r="AB40" s="59"/>
      <x:c r="AC40" s="59"/>
      <x:c r="AD40" s="59"/>
      <x:c r="AE40" s="59"/>
      <x:c r="AF40" s="59"/>
      <x:c r="AG40" s="59"/>
      <x:c r="AH40" s="59"/>
      <x:c r="AI40" s="59"/>
      <x:c r="AJ40" s="59"/>
      <x:c r="AK40" s="59"/>
      <x:c r="AL40" s="59"/>
      <x:c r="AM40" s="59"/>
      <x:c r="AN40" s="59"/>
      <x:c r="AO40" s="59"/>
      <x:c r="AP40" s="59"/>
      <x:c r="AQ40" s="59"/>
      <x:c r="AR40" s="59"/>
      <x:c r="AS40" s="59"/>
      <x:c r="AT40" s="59"/>
      <x:c r="AU40" s="59"/>
      <x:c r="AV40" s="59"/>
      <x:c r="AW40" s="59"/>
      <x:c r="AX40" s="59"/>
      <x:c r="AY40" s="59"/>
      <x:c r="AZ40" s="59"/>
      <x:c r="BA40" s="59"/>
      <x:c r="BB40" s="59"/>
      <x:c r="BC40" s="59"/>
      <x:c r="BD40" s="59"/>
      <x:c r="BE40" s="59"/>
      <x:c r="BF40" s="59"/>
      <x:c r="BG40" s="59"/>
      <x:c r="BH40" s="59"/>
      <x:c r="BI40" s="59"/>
      <x:c r="BJ40" s="59"/>
      <x:c r="BK40" s="59"/>
      <x:c r="BL40" s="59"/>
      <x:c r="BM40" s="59"/>
      <x:c r="BN40" s="59"/>
      <x:c r="BO40" s="59"/>
      <x:c r="BP40" s="59"/>
      <x:c r="BQ40" s="59"/>
      <x:c r="BR40" s="59"/>
      <x:c r="BS40" s="59"/>
      <x:c r="BT40" s="59"/>
      <x:c r="BU40" s="59"/>
      <x:c r="BV40" s="59"/>
      <x:c r="BW40" s="59"/>
      <x:c r="BX40" s="59"/>
      <x:c r="BY40" s="59"/>
      <x:c r="BZ40" s="59"/>
      <x:c r="CA40" s="59"/>
      <x:c r="CB40" s="59"/>
      <x:c r="CC40" s="59"/>
      <x:c r="CD40" s="59"/>
      <x:c r="CE40" s="59"/>
      <x:c r="CF40" s="59"/>
      <x:c r="CG40" s="59"/>
      <x:c r="CH40" s="59"/>
      <x:c r="CI40" s="59"/>
      <x:c r="CJ40" s="59"/>
      <x:c r="CK40" s="59"/>
      <x:c r="CL40" s="59"/>
      <x:c r="CM40" s="59"/>
      <x:c r="CN40" s="59"/>
      <x:c r="CO40" s="59"/>
      <x:c r="CP40" s="59"/>
      <x:c r="CQ40" s="59"/>
      <x:c r="CR40" s="59"/>
      <x:c r="CS40" s="59"/>
      <x:c r="CT40" s="59"/>
      <x:c r="CU40" s="59"/>
      <x:c r="CV40" s="59"/>
      <x:c r="CW40" s="59"/>
      <x:c r="CX40" s="59"/>
      <x:c r="CY40" s="59"/>
      <x:c r="CZ40" s="59"/>
      <x:c r="DA40" s="59"/>
      <x:c r="DB40" s="59"/>
      <x:c r="DC40" s="59"/>
      <x:c r="DD40" s="59"/>
      <x:c r="DE40" s="59"/>
      <x:c r="DF40" s="59"/>
      <x:c r="DG40" s="59"/>
      <x:c r="DH40" s="59"/>
      <x:c r="DI40" s="59"/>
      <x:c r="DJ40" s="59"/>
      <x:c r="DK40" s="59"/>
      <x:c r="DL40" s="59"/>
      <x:c r="DM40" s="59"/>
      <x:c r="DN40" s="59"/>
      <x:c r="DO40" s="59"/>
      <x:c r="DP40" s="59"/>
      <x:c r="DQ40" s="59"/>
      <x:c r="DR40" s="59"/>
      <x:c r="DS40" s="59"/>
      <x:c r="DT40" s="59"/>
      <x:c r="DU40" s="59"/>
      <x:c r="DV40" s="59"/>
      <x:c r="DW40" s="59"/>
      <x:c r="DX40" s="59"/>
      <x:c r="DY40" s="59"/>
      <x:c r="DZ40" s="59"/>
      <x:c r="EA40" s="59"/>
      <x:c r="EB40" s="59"/>
      <x:c r="EC40" s="59"/>
      <x:c r="ED40" s="59"/>
      <x:c r="EE40" s="59"/>
      <x:c r="EF40" s="59"/>
      <x:c r="EG40" s="59"/>
      <x:c r="EH40" s="59"/>
      <x:c r="EI40" s="59"/>
      <x:c r="EJ40" s="59"/>
      <x:c r="EK40" s="59"/>
      <x:c r="EL40" s="59"/>
      <x:c r="EM40" s="59"/>
      <x:c r="EN40" s="59"/>
      <x:c r="EO40" s="59"/>
      <x:c r="EP40" s="59"/>
      <x:c r="EQ40" s="59"/>
      <x:c r="ER40" s="59"/>
      <x:c r="ES40" s="59"/>
      <x:c r="ET40" s="59"/>
      <x:c r="EU40" s="59"/>
      <x:c r="EV40" s="59"/>
      <x:c r="EW40" s="59"/>
      <x:c r="EX40" s="59"/>
      <x:c r="EY40" s="59"/>
      <x:c r="EZ40" s="59"/>
      <x:c r="FA40" s="59"/>
      <x:c r="FB40" s="59"/>
      <x:c r="FC40" s="59"/>
      <x:c r="FD40" s="59"/>
      <x:c r="FE40" s="59"/>
      <x:c r="FF40" s="59"/>
      <x:c r="FG40" s="59"/>
      <x:c r="FH40" s="59"/>
      <x:c r="FI40" s="59"/>
      <x:c r="FJ40" s="59"/>
      <x:c r="FK40" s="59"/>
      <x:c r="FL40" s="59"/>
      <x:c r="FM40" s="59"/>
      <x:c r="FN40" s="59"/>
      <x:c r="FO40" s="59"/>
      <x:c r="FP40" s="59"/>
      <x:c r="FQ40" s="59"/>
      <x:c r="FR40" s="59"/>
      <x:c r="FS40" s="59"/>
      <x:c r="FT40" s="59"/>
      <x:c r="FU40" s="59"/>
      <x:c r="FV40" s="59"/>
      <x:c r="FW40" s="59"/>
      <x:c r="FX40" s="59"/>
      <x:c r="FY40" s="59"/>
      <x:c r="FZ40" s="59"/>
      <x:c r="GA40" s="59"/>
      <x:c r="GB40" s="59"/>
      <x:c r="GC40" s="59"/>
      <x:c r="GD40" s="59"/>
      <x:c r="GE40" s="59"/>
      <x:c r="GF40" s="59"/>
      <x:c r="GG40" s="59"/>
      <x:c r="GH40" s="59"/>
      <x:c r="GI40" s="59"/>
      <x:c r="GJ40" s="59"/>
      <x:c r="GK40" s="59"/>
      <x:c r="GL40" s="59"/>
      <x:c r="GM40" s="59"/>
      <x:c r="GN40" s="59"/>
      <x:c r="GO40" s="59"/>
      <x:c r="GP40" s="59"/>
      <x:c r="GQ40" s="59"/>
      <x:c r="GR40" s="59"/>
      <x:c r="GS40" s="59"/>
      <x:c r="GT40" s="59"/>
      <x:c r="GU40" s="59"/>
      <x:c r="GV40" s="59"/>
      <x:c r="GW40" s="59"/>
      <x:c r="GX40" s="59"/>
      <x:c r="GY40" s="59"/>
      <x:c r="GZ40" s="59"/>
      <x:c r="HA40" s="59"/>
      <x:c r="HB40" s="59"/>
      <x:c r="HC40" s="59"/>
      <x:c r="HD40" s="59"/>
      <x:c r="HE40" s="59"/>
      <x:c r="HF40" s="59"/>
      <x:c r="HG40" s="59"/>
      <x:c r="HH40" s="59"/>
      <x:c r="HI40" s="59"/>
      <x:c r="HJ40" s="59"/>
      <x:c r="HK40" s="59"/>
      <x:c r="HL40" s="59"/>
      <x:c r="HM40" s="59"/>
      <x:c r="HN40" s="59"/>
      <x:c r="HO40" s="59"/>
      <x:c r="HP40" s="59"/>
      <x:c r="HQ40" s="59"/>
      <x:c r="HR40" s="59"/>
      <x:c r="HS40" s="59"/>
      <x:c r="HT40" s="59"/>
      <x:c r="HU40" s="59"/>
      <x:c r="HV40" s="59"/>
      <x:c r="HW40" s="59"/>
      <x:c r="HX40" s="59"/>
      <x:c r="HY40" s="59"/>
      <x:c r="HZ40" s="59"/>
      <x:c r="IA40" s="59"/>
      <x:c r="IB40" s="59"/>
      <x:c r="IC40" s="59"/>
      <x:c r="ID40" s="59"/>
      <x:c r="IE40" s="59"/>
      <x:c r="IF40" s="59"/>
      <x:c r="IG40" s="59"/>
      <x:c r="IH40" s="59"/>
      <x:c r="II40" s="59"/>
      <x:c r="IJ40" s="59"/>
      <x:c r="IK40" s="59"/>
      <x:c r="IL40" s="59"/>
      <x:c r="IM40" s="59"/>
      <x:c r="IN40" s="59"/>
      <x:c r="IO40" s="59"/>
      <x:c r="IP40" s="59"/>
      <x:c r="IQ40" s="59"/>
      <x:c r="IR40" s="59"/>
      <x:c r="IS40" s="59"/>
      <x:c r="IT40" s="59"/>
      <x:c r="IU40" s="59"/>
      <x:c r="IV40" s="59"/>
      <x:c r="IW40" s="59"/>
      <x:c r="IX40" s="59"/>
      <x:c r="IY40" s="59"/>
      <x:c r="IZ40" s="59"/>
      <x:c r="JA40" s="59"/>
      <x:c r="JB40" s="59"/>
      <x:c r="JC40" s="59"/>
      <x:c r="JD40" s="59"/>
      <x:c r="JE40" s="59"/>
      <x:c r="JF40" s="59"/>
      <x:c r="JG40" s="59"/>
      <x:c r="JH40" s="59"/>
      <x:c r="JI40" s="59"/>
      <x:c r="JJ40" s="59"/>
      <x:c r="JK40" s="59"/>
      <x:c r="JL40" s="59"/>
      <x:c r="JM40" s="59"/>
      <x:c r="JN40" s="59"/>
      <x:c r="JO40" s="59"/>
      <x:c r="JP40" s="59"/>
      <x:c r="JQ40" s="59"/>
      <x:c r="JR40" s="59"/>
      <x:c r="JS40" s="59"/>
      <x:c r="JT40" s="59"/>
      <x:c r="JU40" s="59"/>
      <x:c r="JV40" s="59"/>
      <x:c r="JW40" s="59"/>
      <x:c r="JX40" s="59"/>
      <x:c r="JY40" s="59"/>
      <x:c r="JZ40" s="59"/>
      <x:c r="KA40" s="59"/>
      <x:c r="KB40" s="59"/>
      <x:c r="KC40" s="59"/>
      <x:c r="KD40" s="59"/>
      <x:c r="KE40" s="59"/>
      <x:c r="KF40" s="59"/>
      <x:c r="KG40" s="59"/>
      <x:c r="KH40" s="59"/>
      <x:c r="KI40" s="59"/>
      <x:c r="KJ40" s="59"/>
      <x:c r="KK40" s="59"/>
      <x:c r="KL40" s="59"/>
      <x:c r="KM40" s="59"/>
      <x:c r="KN40" s="59"/>
      <x:c r="KO40" s="59"/>
      <x:c r="KP40" s="59"/>
      <x:c r="KQ40" s="59"/>
      <x:c r="KR40" s="59"/>
      <x:c r="KS40" s="59"/>
      <x:c r="KT40" s="59"/>
      <x:c r="KU40" s="59"/>
      <x:c r="KV40" s="59"/>
      <x:c r="KW40" s="59"/>
      <x:c r="KX40" s="59"/>
      <x:c r="KY40" s="59"/>
      <x:c r="KZ40" s="59"/>
      <x:c r="LA40" s="59"/>
      <x:c r="LB40" s="59"/>
      <x:c r="LC40" s="59"/>
      <x:c r="LD40" s="59"/>
      <x:c r="LE40" s="59"/>
      <x:c r="LF40" s="59"/>
      <x:c r="LG40" s="59"/>
      <x:c r="LH40" s="59"/>
      <x:c r="LI40" s="59"/>
      <x:c r="LJ40" s="59"/>
      <x:c r="LK40" s="59"/>
      <x:c r="LL40" s="59"/>
      <x:c r="LM40" s="59"/>
      <x:c r="LN40" s="59"/>
      <x:c r="LO40" s="59"/>
      <x:c r="LP40" s="59"/>
      <x:c r="LQ40" s="59"/>
      <x:c r="LR40" s="59"/>
      <x:c r="LS40" s="59"/>
      <x:c r="LT40" s="59"/>
      <x:c r="LU40" s="59"/>
      <x:c r="LV40" s="59"/>
      <x:c r="LW40" s="59"/>
      <x:c r="LX40" s="59"/>
      <x:c r="LY40" s="59"/>
      <x:c r="LZ40" s="59"/>
      <x:c r="MA40" s="59"/>
      <x:c r="MB40" s="59"/>
      <x:c r="MC40" s="59"/>
      <x:c r="MD40" s="59"/>
      <x:c r="ME40" s="59"/>
      <x:c r="MF40" s="59"/>
      <x:c r="MG40" s="59"/>
      <x:c r="MH40" s="59"/>
      <x:c r="MI40" s="59"/>
      <x:c r="MJ40" s="59"/>
      <x:c r="MK40" s="59"/>
      <x:c r="ML40" s="59"/>
      <x:c r="MM40" s="59"/>
      <x:c r="MN40" s="59"/>
      <x:c r="MO40" s="59"/>
      <x:c r="MP40" s="59"/>
      <x:c r="MQ40" s="59"/>
      <x:c r="MR40" s="59"/>
      <x:c r="MS40" s="59"/>
      <x:c r="MT40" s="59"/>
      <x:c r="MU40" s="59"/>
      <x:c r="MV40" s="59"/>
      <x:c r="MW40" s="59"/>
      <x:c r="MX40" s="59"/>
      <x:c r="MY40" s="59"/>
      <x:c r="MZ40" s="59"/>
      <x:c r="NA40" s="59"/>
      <x:c r="NB40" s="59"/>
      <x:c r="NC40" s="59"/>
      <x:c r="ND40" s="59"/>
      <x:c r="NE40" s="59"/>
      <x:c r="NF40" s="59"/>
      <x:c r="NG40" s="59"/>
      <x:c r="NH40" s="59"/>
      <x:c r="NI40" s="59"/>
      <x:c r="NJ40" s="59"/>
      <x:c r="NK40" s="59"/>
      <x:c r="NL40" s="59"/>
      <x:c r="NM40" s="59"/>
      <x:c r="NN40" s="59"/>
      <x:c r="NO40" s="59"/>
      <x:c r="NP40" s="59"/>
      <x:c r="NQ40" s="59"/>
      <x:c r="NR40" s="59"/>
      <x:c r="NS40" s="59"/>
      <x:c r="NT40" s="59"/>
      <x:c r="NU40" s="59"/>
      <x:c r="NV40" s="59"/>
      <x:c r="NW40" s="59"/>
      <x:c r="NX40" s="59"/>
      <x:c r="NY40" s="59"/>
      <x:c r="NZ40" s="59"/>
      <x:c r="OA40" s="59"/>
      <x:c r="OB40" s="59"/>
      <x:c r="OC40" s="59"/>
      <x:c r="OD40" s="59"/>
      <x:c r="OE40" s="59"/>
      <x:c r="OF40" s="59"/>
      <x:c r="OG40" s="59"/>
      <x:c r="OH40" s="59"/>
      <x:c r="OI40" s="59"/>
      <x:c r="OJ40" s="59"/>
      <x:c r="OK40" s="59"/>
      <x:c r="OL40" s="59"/>
      <x:c r="OM40" s="59"/>
      <x:c r="ON40" s="59"/>
      <x:c r="OO40" s="59"/>
      <x:c r="OP40" s="59"/>
      <x:c r="OQ40" s="59"/>
      <x:c r="OR40" s="59"/>
      <x:c r="OS40" s="59"/>
      <x:c r="OT40" s="59"/>
      <x:c r="OU40" s="59"/>
      <x:c r="OV40" s="59"/>
      <x:c r="OW40" s="59"/>
      <x:c r="OX40" s="59"/>
      <x:c r="OY40" s="59"/>
      <x:c r="OZ40" s="59"/>
      <x:c r="PA40" s="59"/>
      <x:c r="PB40" s="59"/>
      <x:c r="PC40" s="59"/>
      <x:c r="PD40" s="59"/>
      <x:c r="PE40" s="59"/>
      <x:c r="PF40" s="59"/>
      <x:c r="PG40" s="59"/>
      <x:c r="PH40" s="59"/>
      <x:c r="PI40" s="59"/>
      <x:c r="PJ40" s="59"/>
      <x:c r="PK40" s="59"/>
      <x:c r="PL40" s="59"/>
      <x:c r="PM40" s="59"/>
      <x:c r="PN40" s="59"/>
      <x:c r="PO40" s="59"/>
      <x:c r="PP40" s="59"/>
      <x:c r="PQ40" s="59"/>
      <x:c r="PR40" s="59"/>
      <x:c r="PS40" s="59"/>
      <x:c r="PT40" s="59"/>
      <x:c r="PU40" s="59"/>
      <x:c r="PV40" s="59"/>
      <x:c r="PW40" s="59"/>
      <x:c r="PX40" s="59"/>
      <x:c r="PY40" s="59"/>
      <x:c r="PZ40" s="59"/>
      <x:c r="QA40" s="59"/>
      <x:c r="QB40" s="59"/>
      <x:c r="QC40" s="59"/>
      <x:c r="QD40" s="59"/>
      <x:c r="QE40" s="59"/>
      <x:c r="QF40" s="59"/>
      <x:c r="QG40" s="59"/>
      <x:c r="QH40" s="59"/>
      <x:c r="QI40" s="59"/>
      <x:c r="QJ40" s="59"/>
      <x:c r="QK40" s="59"/>
      <x:c r="QL40" s="59"/>
      <x:c r="QM40" s="59"/>
      <x:c r="QN40" s="59"/>
      <x:c r="QO40" s="59"/>
      <x:c r="QP40" s="59"/>
      <x:c r="QQ40" s="59"/>
      <x:c r="QR40" s="59"/>
      <x:c r="QS40" s="59"/>
      <x:c r="QT40" s="59"/>
      <x:c r="QU40" s="59"/>
      <x:c r="QV40" s="59"/>
      <x:c r="QW40" s="59"/>
      <x:c r="QX40" s="59"/>
      <x:c r="QY40" s="59"/>
      <x:c r="QZ40" s="59"/>
      <x:c r="RA40" s="59"/>
      <x:c r="RB40" s="59"/>
      <x:c r="RC40" s="59"/>
      <x:c r="RD40" s="59"/>
      <x:c r="RE40" s="59"/>
      <x:c r="RF40" s="59"/>
      <x:c r="RG40" s="59"/>
      <x:c r="RH40" s="59"/>
      <x:c r="RI40" s="59"/>
      <x:c r="RJ40" s="59"/>
      <x:c r="RK40" s="59"/>
      <x:c r="RL40" s="59"/>
      <x:c r="RM40" s="59"/>
      <x:c r="RN40" s="59"/>
      <x:c r="RO40" s="59"/>
      <x:c r="RP40" s="59"/>
      <x:c r="RQ40" s="59"/>
      <x:c r="RR40" s="59"/>
      <x:c r="RS40" s="59"/>
      <x:c r="RT40" s="59"/>
      <x:c r="RU40" s="59"/>
      <x:c r="RV40" s="59"/>
      <x:c r="RW40" s="59"/>
      <x:c r="RX40" s="59"/>
      <x:c r="RY40" s="59"/>
      <x:c r="RZ40" s="59"/>
      <x:c r="SA40" s="59"/>
      <x:c r="SB40" s="59"/>
      <x:c r="SC40" s="59"/>
      <x:c r="SD40" s="59"/>
      <x:c r="SE40" s="59"/>
      <x:c r="SF40" s="59"/>
    </x:row>
    <x:row r="41">
      <x:c r="A41" s="61" t="s">
        <x:v>85</x:v>
      </x:c>
      <x:c r="B41" s="66" t="s">
        <x:v>86</x:v>
      </x:c>
      <x:c r="C41" s="66"/>
      <x:c r="D41" s="63" t="s">
        <x:v>87</x:v>
      </x:c>
      <x:c r="E41" s="63"/>
      <x:c r="F41" s="63"/>
      <x:c r="G41" s="63" t="s">
        <x:v>84</x:v>
      </x:c>
      <x:c r="H41" s="63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  <x:c r="AA41" s="59"/>
      <x:c r="AB41" s="59"/>
      <x:c r="AC41" s="59"/>
      <x:c r="AD41" s="59"/>
      <x:c r="AE41" s="59"/>
      <x:c r="AF41" s="59"/>
      <x:c r="AG41" s="59"/>
      <x:c r="AH41" s="59"/>
      <x:c r="AI41" s="59"/>
      <x:c r="AJ41" s="59"/>
      <x:c r="AK41" s="59"/>
      <x:c r="AL41" s="59"/>
      <x:c r="AM41" s="59"/>
      <x:c r="AN41" s="59"/>
      <x:c r="AO41" s="59"/>
      <x:c r="AP41" s="59"/>
      <x:c r="AQ41" s="59"/>
      <x:c r="AR41" s="59"/>
      <x:c r="AS41" s="59"/>
      <x:c r="AT41" s="59"/>
      <x:c r="AU41" s="59"/>
      <x:c r="AV41" s="59"/>
      <x:c r="AW41" s="59"/>
      <x:c r="AX41" s="59"/>
      <x:c r="AY41" s="59"/>
      <x:c r="AZ41" s="59"/>
      <x:c r="BA41" s="59"/>
      <x:c r="BB41" s="59"/>
      <x:c r="BC41" s="59"/>
      <x:c r="BD41" s="59"/>
      <x:c r="BE41" s="59"/>
      <x:c r="BF41" s="59"/>
      <x:c r="BG41" s="59"/>
      <x:c r="BH41" s="59"/>
      <x:c r="BI41" s="59"/>
      <x:c r="BJ41" s="59"/>
      <x:c r="BK41" s="59"/>
      <x:c r="BL41" s="59"/>
      <x:c r="BM41" s="59"/>
      <x:c r="BN41" s="59"/>
      <x:c r="BO41" s="59"/>
      <x:c r="BP41" s="59"/>
      <x:c r="BQ41" s="59"/>
      <x:c r="BR41" s="59"/>
      <x:c r="BS41" s="59"/>
      <x:c r="BT41" s="59"/>
      <x:c r="BU41" s="59"/>
      <x:c r="BV41" s="59"/>
      <x:c r="BW41" s="59"/>
      <x:c r="BX41" s="59"/>
      <x:c r="BY41" s="59"/>
      <x:c r="BZ41" s="59"/>
      <x:c r="CA41" s="59"/>
      <x:c r="CB41" s="59"/>
      <x:c r="CC41" s="59"/>
      <x:c r="CD41" s="59"/>
      <x:c r="CE41" s="59"/>
      <x:c r="CF41" s="59"/>
      <x:c r="CG41" s="59"/>
      <x:c r="CH41" s="59"/>
      <x:c r="CI41" s="59"/>
      <x:c r="CJ41" s="59"/>
      <x:c r="CK41" s="59"/>
      <x:c r="CL41" s="59"/>
      <x:c r="CM41" s="59"/>
      <x:c r="CN41" s="59"/>
      <x:c r="CO41" s="59"/>
      <x:c r="CP41" s="59"/>
      <x:c r="CQ41" s="59"/>
      <x:c r="CR41" s="59"/>
      <x:c r="CS41" s="59"/>
      <x:c r="CT41" s="59"/>
      <x:c r="CU41" s="59"/>
      <x:c r="CV41" s="59"/>
      <x:c r="CW41" s="59"/>
      <x:c r="CX41" s="59"/>
      <x:c r="CY41" s="59"/>
      <x:c r="CZ41" s="59"/>
      <x:c r="DA41" s="59"/>
      <x:c r="DB41" s="59"/>
      <x:c r="DC41" s="59"/>
      <x:c r="DD41" s="59"/>
      <x:c r="DE41" s="59"/>
      <x:c r="DF41" s="59"/>
      <x:c r="DG41" s="59"/>
      <x:c r="DH41" s="59"/>
      <x:c r="DI41" s="59"/>
      <x:c r="DJ41" s="59"/>
      <x:c r="DK41" s="59"/>
      <x:c r="DL41" s="59"/>
      <x:c r="DM41" s="59"/>
      <x:c r="DN41" s="59"/>
      <x:c r="DO41" s="59"/>
      <x:c r="DP41" s="59"/>
      <x:c r="DQ41" s="59"/>
      <x:c r="DR41" s="59"/>
      <x:c r="DS41" s="59"/>
      <x:c r="DT41" s="59"/>
      <x:c r="DU41" s="59"/>
      <x:c r="DV41" s="59"/>
      <x:c r="DW41" s="59"/>
      <x:c r="DX41" s="59"/>
      <x:c r="DY41" s="59"/>
      <x:c r="DZ41" s="59"/>
      <x:c r="EA41" s="59"/>
      <x:c r="EB41" s="59"/>
      <x:c r="EC41" s="59"/>
      <x:c r="ED41" s="59"/>
      <x:c r="EE41" s="59"/>
      <x:c r="EF41" s="59"/>
      <x:c r="EG41" s="59"/>
      <x:c r="EH41" s="59"/>
      <x:c r="EI41" s="59"/>
      <x:c r="EJ41" s="59"/>
      <x:c r="EK41" s="59"/>
      <x:c r="EL41" s="59"/>
      <x:c r="EM41" s="59"/>
      <x:c r="EN41" s="59"/>
      <x:c r="EO41" s="59"/>
      <x:c r="EP41" s="59"/>
      <x:c r="EQ41" s="59"/>
      <x:c r="ER41" s="59"/>
      <x:c r="ES41" s="59"/>
      <x:c r="ET41" s="59"/>
      <x:c r="EU41" s="59"/>
      <x:c r="EV41" s="59"/>
      <x:c r="EW41" s="59"/>
      <x:c r="EX41" s="59"/>
      <x:c r="EY41" s="59"/>
      <x:c r="EZ41" s="59"/>
      <x:c r="FA41" s="59"/>
      <x:c r="FB41" s="59"/>
      <x:c r="FC41" s="59"/>
      <x:c r="FD41" s="59"/>
      <x:c r="FE41" s="59"/>
      <x:c r="FF41" s="59"/>
      <x:c r="FG41" s="59"/>
      <x:c r="FH41" s="59"/>
      <x:c r="FI41" s="59"/>
      <x:c r="FJ41" s="59"/>
      <x:c r="FK41" s="59"/>
      <x:c r="FL41" s="59"/>
      <x:c r="FM41" s="59"/>
      <x:c r="FN41" s="59"/>
      <x:c r="FO41" s="59"/>
      <x:c r="FP41" s="59"/>
      <x:c r="FQ41" s="59"/>
      <x:c r="FR41" s="59"/>
      <x:c r="FS41" s="59"/>
      <x:c r="FT41" s="59"/>
      <x:c r="FU41" s="59"/>
      <x:c r="FV41" s="59"/>
      <x:c r="FW41" s="59"/>
      <x:c r="FX41" s="59"/>
      <x:c r="FY41" s="59"/>
      <x:c r="FZ41" s="59"/>
      <x:c r="GA41" s="59"/>
      <x:c r="GB41" s="59"/>
      <x:c r="GC41" s="59"/>
      <x:c r="GD41" s="59"/>
      <x:c r="GE41" s="59"/>
      <x:c r="GF41" s="59"/>
      <x:c r="GG41" s="59"/>
      <x:c r="GH41" s="59"/>
      <x:c r="GI41" s="59"/>
      <x:c r="GJ41" s="59"/>
      <x:c r="GK41" s="59"/>
      <x:c r="GL41" s="59"/>
      <x:c r="GM41" s="59"/>
      <x:c r="GN41" s="59"/>
      <x:c r="GO41" s="59"/>
      <x:c r="GP41" s="59"/>
      <x:c r="GQ41" s="59"/>
      <x:c r="GR41" s="59"/>
      <x:c r="GS41" s="59"/>
      <x:c r="GT41" s="59"/>
      <x:c r="GU41" s="59"/>
      <x:c r="GV41" s="59"/>
      <x:c r="GW41" s="59"/>
      <x:c r="GX41" s="59"/>
      <x:c r="GY41" s="59"/>
      <x:c r="GZ41" s="59"/>
      <x:c r="HA41" s="59"/>
      <x:c r="HB41" s="59"/>
      <x:c r="HC41" s="59"/>
      <x:c r="HD41" s="59"/>
      <x:c r="HE41" s="59"/>
      <x:c r="HF41" s="59"/>
      <x:c r="HG41" s="59"/>
      <x:c r="HH41" s="59"/>
      <x:c r="HI41" s="59"/>
      <x:c r="HJ41" s="59"/>
      <x:c r="HK41" s="59"/>
      <x:c r="HL41" s="59"/>
      <x:c r="HM41" s="59"/>
      <x:c r="HN41" s="59"/>
      <x:c r="HO41" s="59"/>
      <x:c r="HP41" s="59"/>
      <x:c r="HQ41" s="59"/>
      <x:c r="HR41" s="59"/>
      <x:c r="HS41" s="59"/>
      <x:c r="HT41" s="59"/>
      <x:c r="HU41" s="59"/>
      <x:c r="HV41" s="59"/>
      <x:c r="HW41" s="59"/>
      <x:c r="HX41" s="59"/>
      <x:c r="HY41" s="59"/>
      <x:c r="HZ41" s="59"/>
      <x:c r="IA41" s="59"/>
      <x:c r="IB41" s="59"/>
      <x:c r="IC41" s="59"/>
      <x:c r="ID41" s="59"/>
      <x:c r="IE41" s="59"/>
      <x:c r="IF41" s="59"/>
      <x:c r="IG41" s="59"/>
      <x:c r="IH41" s="59"/>
      <x:c r="II41" s="59"/>
      <x:c r="IJ41" s="59"/>
      <x:c r="IK41" s="59"/>
      <x:c r="IL41" s="59"/>
      <x:c r="IM41" s="59"/>
      <x:c r="IN41" s="59"/>
      <x:c r="IO41" s="59"/>
      <x:c r="IP41" s="59"/>
      <x:c r="IQ41" s="59"/>
      <x:c r="IR41" s="59"/>
      <x:c r="IS41" s="59"/>
      <x:c r="IT41" s="59"/>
      <x:c r="IU41" s="59"/>
      <x:c r="IV41" s="59"/>
      <x:c r="IW41" s="59"/>
      <x:c r="IX41" s="59"/>
      <x:c r="IY41" s="59"/>
      <x:c r="IZ41" s="59"/>
      <x:c r="JA41" s="59"/>
      <x:c r="JB41" s="59"/>
      <x:c r="JC41" s="59"/>
      <x:c r="JD41" s="59"/>
      <x:c r="JE41" s="59"/>
      <x:c r="JF41" s="59"/>
      <x:c r="JG41" s="59"/>
      <x:c r="JH41" s="59"/>
      <x:c r="JI41" s="59"/>
      <x:c r="JJ41" s="59"/>
      <x:c r="JK41" s="59"/>
      <x:c r="JL41" s="59"/>
      <x:c r="JM41" s="59"/>
      <x:c r="JN41" s="59"/>
      <x:c r="JO41" s="59"/>
      <x:c r="JP41" s="59"/>
      <x:c r="JQ41" s="59"/>
      <x:c r="JR41" s="59"/>
      <x:c r="JS41" s="59"/>
      <x:c r="JT41" s="59"/>
      <x:c r="JU41" s="59"/>
      <x:c r="JV41" s="59"/>
      <x:c r="JW41" s="59"/>
      <x:c r="JX41" s="59"/>
      <x:c r="JY41" s="59"/>
      <x:c r="JZ41" s="59"/>
      <x:c r="KA41" s="59"/>
      <x:c r="KB41" s="59"/>
      <x:c r="KC41" s="59"/>
      <x:c r="KD41" s="59"/>
      <x:c r="KE41" s="59"/>
      <x:c r="KF41" s="59"/>
      <x:c r="KG41" s="59"/>
      <x:c r="KH41" s="59"/>
      <x:c r="KI41" s="59"/>
      <x:c r="KJ41" s="59"/>
      <x:c r="KK41" s="59"/>
      <x:c r="KL41" s="59"/>
      <x:c r="KM41" s="59"/>
      <x:c r="KN41" s="59"/>
      <x:c r="KO41" s="59"/>
      <x:c r="KP41" s="59"/>
      <x:c r="KQ41" s="59"/>
      <x:c r="KR41" s="59"/>
      <x:c r="KS41" s="59"/>
      <x:c r="KT41" s="59"/>
      <x:c r="KU41" s="59"/>
      <x:c r="KV41" s="59"/>
      <x:c r="KW41" s="59"/>
      <x:c r="KX41" s="59"/>
      <x:c r="KY41" s="59"/>
      <x:c r="KZ41" s="59"/>
      <x:c r="LA41" s="59"/>
      <x:c r="LB41" s="59"/>
      <x:c r="LC41" s="59"/>
      <x:c r="LD41" s="59"/>
      <x:c r="LE41" s="59"/>
      <x:c r="LF41" s="59"/>
      <x:c r="LG41" s="59"/>
      <x:c r="LH41" s="59"/>
      <x:c r="LI41" s="59"/>
      <x:c r="LJ41" s="59"/>
      <x:c r="LK41" s="59"/>
      <x:c r="LL41" s="59"/>
      <x:c r="LM41" s="59"/>
      <x:c r="LN41" s="59"/>
      <x:c r="LO41" s="59"/>
      <x:c r="LP41" s="59"/>
      <x:c r="LQ41" s="59"/>
      <x:c r="LR41" s="59"/>
      <x:c r="LS41" s="59"/>
      <x:c r="LT41" s="59"/>
      <x:c r="LU41" s="59"/>
      <x:c r="LV41" s="59"/>
      <x:c r="LW41" s="59"/>
      <x:c r="LX41" s="59"/>
      <x:c r="LY41" s="59"/>
      <x:c r="LZ41" s="59"/>
      <x:c r="MA41" s="59"/>
      <x:c r="MB41" s="59"/>
      <x:c r="MC41" s="59"/>
      <x:c r="MD41" s="59"/>
      <x:c r="ME41" s="59"/>
      <x:c r="MF41" s="59"/>
      <x:c r="MG41" s="59"/>
      <x:c r="MH41" s="59"/>
      <x:c r="MI41" s="59"/>
      <x:c r="MJ41" s="59"/>
      <x:c r="MK41" s="59"/>
      <x:c r="ML41" s="59"/>
      <x:c r="MM41" s="59"/>
      <x:c r="MN41" s="59"/>
      <x:c r="MO41" s="59"/>
      <x:c r="MP41" s="59"/>
      <x:c r="MQ41" s="59"/>
      <x:c r="MR41" s="59"/>
      <x:c r="MS41" s="59"/>
      <x:c r="MT41" s="59"/>
      <x:c r="MU41" s="59"/>
      <x:c r="MV41" s="59"/>
      <x:c r="MW41" s="59"/>
      <x:c r="MX41" s="59"/>
      <x:c r="MY41" s="59"/>
      <x:c r="MZ41" s="59"/>
      <x:c r="NA41" s="59"/>
      <x:c r="NB41" s="59"/>
      <x:c r="NC41" s="59"/>
      <x:c r="ND41" s="59"/>
      <x:c r="NE41" s="59"/>
      <x:c r="NF41" s="59"/>
      <x:c r="NG41" s="59"/>
      <x:c r="NH41" s="59"/>
      <x:c r="NI41" s="59"/>
      <x:c r="NJ41" s="59"/>
      <x:c r="NK41" s="59"/>
      <x:c r="NL41" s="59"/>
      <x:c r="NM41" s="59"/>
      <x:c r="NN41" s="59"/>
      <x:c r="NO41" s="59"/>
      <x:c r="NP41" s="59"/>
      <x:c r="NQ41" s="59"/>
      <x:c r="NR41" s="59"/>
      <x:c r="NS41" s="59"/>
      <x:c r="NT41" s="59"/>
      <x:c r="NU41" s="59"/>
      <x:c r="NV41" s="59"/>
      <x:c r="NW41" s="59"/>
      <x:c r="NX41" s="59"/>
      <x:c r="NY41" s="59"/>
      <x:c r="NZ41" s="59"/>
      <x:c r="OA41" s="59"/>
      <x:c r="OB41" s="59"/>
      <x:c r="OC41" s="59"/>
      <x:c r="OD41" s="59"/>
      <x:c r="OE41" s="59"/>
      <x:c r="OF41" s="59"/>
      <x:c r="OG41" s="59"/>
      <x:c r="OH41" s="59"/>
      <x:c r="OI41" s="59"/>
      <x:c r="OJ41" s="59"/>
      <x:c r="OK41" s="59"/>
      <x:c r="OL41" s="59"/>
      <x:c r="OM41" s="59"/>
      <x:c r="ON41" s="59"/>
      <x:c r="OO41" s="59"/>
      <x:c r="OP41" s="59"/>
      <x:c r="OQ41" s="59"/>
      <x:c r="OR41" s="59"/>
      <x:c r="OS41" s="59"/>
      <x:c r="OT41" s="59"/>
      <x:c r="OU41" s="59"/>
      <x:c r="OV41" s="59"/>
      <x:c r="OW41" s="59"/>
      <x:c r="OX41" s="59"/>
      <x:c r="OY41" s="59"/>
      <x:c r="OZ41" s="59"/>
      <x:c r="PA41" s="59"/>
      <x:c r="PB41" s="59"/>
      <x:c r="PC41" s="59"/>
      <x:c r="PD41" s="59"/>
      <x:c r="PE41" s="59"/>
      <x:c r="PF41" s="59"/>
      <x:c r="PG41" s="59"/>
      <x:c r="PH41" s="59"/>
      <x:c r="PI41" s="59"/>
      <x:c r="PJ41" s="59"/>
      <x:c r="PK41" s="59"/>
      <x:c r="PL41" s="59"/>
      <x:c r="PM41" s="59"/>
      <x:c r="PN41" s="59"/>
      <x:c r="PO41" s="59"/>
      <x:c r="PP41" s="59"/>
      <x:c r="PQ41" s="59"/>
      <x:c r="PR41" s="59"/>
      <x:c r="PS41" s="59"/>
      <x:c r="PT41" s="59"/>
      <x:c r="PU41" s="59"/>
      <x:c r="PV41" s="59"/>
      <x:c r="PW41" s="59"/>
      <x:c r="PX41" s="59"/>
      <x:c r="PY41" s="59"/>
      <x:c r="PZ41" s="59"/>
      <x:c r="QA41" s="59"/>
      <x:c r="QB41" s="59"/>
      <x:c r="QC41" s="59"/>
      <x:c r="QD41" s="59"/>
      <x:c r="QE41" s="59"/>
      <x:c r="QF41" s="59"/>
      <x:c r="QG41" s="59"/>
      <x:c r="QH41" s="59"/>
      <x:c r="QI41" s="59"/>
      <x:c r="QJ41" s="59"/>
      <x:c r="QK41" s="59"/>
      <x:c r="QL41" s="59"/>
      <x:c r="QM41" s="59"/>
      <x:c r="QN41" s="59"/>
      <x:c r="QO41" s="59"/>
      <x:c r="QP41" s="59"/>
      <x:c r="QQ41" s="59"/>
      <x:c r="QR41" s="59"/>
      <x:c r="QS41" s="59"/>
      <x:c r="QT41" s="59"/>
      <x:c r="QU41" s="59"/>
      <x:c r="QV41" s="59"/>
      <x:c r="QW41" s="59"/>
      <x:c r="QX41" s="59"/>
      <x:c r="QY41" s="59"/>
      <x:c r="QZ41" s="59"/>
      <x:c r="RA41" s="59"/>
      <x:c r="RB41" s="59"/>
      <x:c r="RC41" s="59"/>
      <x:c r="RD41" s="59"/>
      <x:c r="RE41" s="59"/>
      <x:c r="RF41" s="59"/>
      <x:c r="RG41" s="59"/>
      <x:c r="RH41" s="59"/>
      <x:c r="RI41" s="59"/>
      <x:c r="RJ41" s="59"/>
      <x:c r="RK41" s="59"/>
      <x:c r="RL41" s="59"/>
      <x:c r="RM41" s="59"/>
      <x:c r="RN41" s="59"/>
      <x:c r="RO41" s="59"/>
      <x:c r="RP41" s="59"/>
      <x:c r="RQ41" s="59"/>
      <x:c r="RR41" s="59"/>
      <x:c r="RS41" s="59"/>
      <x:c r="RT41" s="59"/>
      <x:c r="RU41" s="59"/>
      <x:c r="RV41" s="59"/>
      <x:c r="RW41" s="59"/>
      <x:c r="RX41" s="59"/>
      <x:c r="RY41" s="59"/>
      <x:c r="RZ41" s="59"/>
      <x:c r="SA41" s="59"/>
      <x:c r="SB41" s="59"/>
      <x:c r="SC41" s="59"/>
      <x:c r="SD41" s="59"/>
      <x:c r="SE41" s="59"/>
      <x:c r="SF41" s="59"/>
    </x:row>
    <x:row r="42">
      <x:c r="A42" s="61" t="s">
        <x:v>88</x:v>
      </x:c>
      <x:c r="B42" s="66" t="s">
        <x:v>89</x:v>
      </x:c>
      <x:c r="C42" s="66"/>
      <x:c r="D42" s="63" t="s">
        <x:v>90</x:v>
      </x:c>
      <x:c r="E42" s="63"/>
      <x:c r="F42" s="63"/>
      <x:c r="G42" s="63" t="s">
        <x:v>84</x:v>
      </x:c>
      <x:c r="H42" s="63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  <x:c r="AA42" s="59"/>
      <x:c r="AB42" s="59"/>
      <x:c r="AC42" s="59"/>
      <x:c r="AD42" s="59"/>
      <x:c r="AE42" s="59"/>
      <x:c r="AF42" s="59"/>
      <x:c r="AG42" s="59"/>
      <x:c r="AH42" s="59"/>
      <x:c r="AI42" s="59"/>
      <x:c r="AJ42" s="59"/>
      <x:c r="AK42" s="59"/>
      <x:c r="AL42" s="59"/>
      <x:c r="AM42" s="59"/>
      <x:c r="AN42" s="59"/>
      <x:c r="AO42" s="59"/>
      <x:c r="AP42" s="59"/>
      <x:c r="AQ42" s="59"/>
      <x:c r="AR42" s="59"/>
      <x:c r="AS42" s="59"/>
      <x:c r="AT42" s="59"/>
      <x:c r="AU42" s="59"/>
      <x:c r="AV42" s="59"/>
      <x:c r="AW42" s="59"/>
      <x:c r="AX42" s="59"/>
      <x:c r="AY42" s="59"/>
      <x:c r="AZ42" s="59"/>
      <x:c r="BA42" s="59"/>
      <x:c r="BB42" s="59"/>
      <x:c r="BC42" s="59"/>
      <x:c r="BD42" s="59"/>
      <x:c r="BE42" s="59"/>
      <x:c r="BF42" s="59"/>
      <x:c r="BG42" s="59"/>
      <x:c r="BH42" s="59"/>
      <x:c r="BI42" s="59"/>
      <x:c r="BJ42" s="59"/>
      <x:c r="BK42" s="59"/>
      <x:c r="BL42" s="59"/>
      <x:c r="BM42" s="59"/>
      <x:c r="BN42" s="59"/>
      <x:c r="BO42" s="59"/>
      <x:c r="BP42" s="59"/>
      <x:c r="BQ42" s="59"/>
      <x:c r="BR42" s="59"/>
      <x:c r="BS42" s="59"/>
      <x:c r="BT42" s="59"/>
      <x:c r="BU42" s="59"/>
      <x:c r="BV42" s="59"/>
      <x:c r="BW42" s="59"/>
      <x:c r="BX42" s="59"/>
      <x:c r="BY42" s="59"/>
      <x:c r="BZ42" s="59"/>
      <x:c r="CA42" s="59"/>
      <x:c r="CB42" s="59"/>
      <x:c r="CC42" s="59"/>
      <x:c r="CD42" s="59"/>
      <x:c r="CE42" s="59"/>
      <x:c r="CF42" s="59"/>
      <x:c r="CG42" s="59"/>
      <x:c r="CH42" s="59"/>
      <x:c r="CI42" s="59"/>
      <x:c r="CJ42" s="59"/>
      <x:c r="CK42" s="59"/>
      <x:c r="CL42" s="59"/>
      <x:c r="CM42" s="59"/>
      <x:c r="CN42" s="59"/>
      <x:c r="CO42" s="59"/>
      <x:c r="CP42" s="59"/>
      <x:c r="CQ42" s="59"/>
      <x:c r="CR42" s="59"/>
      <x:c r="CS42" s="59"/>
      <x:c r="CT42" s="59"/>
      <x:c r="CU42" s="59"/>
      <x:c r="CV42" s="59"/>
      <x:c r="CW42" s="59"/>
      <x:c r="CX42" s="59"/>
      <x:c r="CY42" s="59"/>
      <x:c r="CZ42" s="59"/>
      <x:c r="DA42" s="59"/>
      <x:c r="DB42" s="59"/>
      <x:c r="DC42" s="59"/>
      <x:c r="DD42" s="59"/>
      <x:c r="DE42" s="59"/>
      <x:c r="DF42" s="59"/>
      <x:c r="DG42" s="59"/>
      <x:c r="DH42" s="59"/>
      <x:c r="DI42" s="59"/>
      <x:c r="DJ42" s="59"/>
      <x:c r="DK42" s="59"/>
      <x:c r="DL42" s="59"/>
      <x:c r="DM42" s="59"/>
      <x:c r="DN42" s="59"/>
      <x:c r="DO42" s="59"/>
      <x:c r="DP42" s="59"/>
      <x:c r="DQ42" s="59"/>
      <x:c r="DR42" s="59"/>
      <x:c r="DS42" s="59"/>
      <x:c r="DT42" s="59"/>
      <x:c r="DU42" s="59"/>
      <x:c r="DV42" s="59"/>
      <x:c r="DW42" s="59"/>
      <x:c r="DX42" s="59"/>
      <x:c r="DY42" s="59"/>
      <x:c r="DZ42" s="59"/>
      <x:c r="EA42" s="59"/>
      <x:c r="EB42" s="59"/>
      <x:c r="EC42" s="59"/>
      <x:c r="ED42" s="59"/>
      <x:c r="EE42" s="59"/>
      <x:c r="EF42" s="59"/>
      <x:c r="EG42" s="59"/>
      <x:c r="EH42" s="59"/>
      <x:c r="EI42" s="59"/>
      <x:c r="EJ42" s="59"/>
      <x:c r="EK42" s="59"/>
      <x:c r="EL42" s="59"/>
      <x:c r="EM42" s="59"/>
      <x:c r="EN42" s="59"/>
      <x:c r="EO42" s="59"/>
      <x:c r="EP42" s="59"/>
      <x:c r="EQ42" s="59"/>
      <x:c r="ER42" s="59"/>
      <x:c r="ES42" s="59"/>
      <x:c r="ET42" s="59"/>
      <x:c r="EU42" s="59"/>
      <x:c r="EV42" s="59"/>
      <x:c r="EW42" s="59"/>
      <x:c r="EX42" s="59"/>
      <x:c r="EY42" s="59"/>
      <x:c r="EZ42" s="59"/>
      <x:c r="FA42" s="59"/>
      <x:c r="FB42" s="59"/>
      <x:c r="FC42" s="59"/>
      <x:c r="FD42" s="59"/>
      <x:c r="FE42" s="59"/>
      <x:c r="FF42" s="59"/>
      <x:c r="FG42" s="59"/>
      <x:c r="FH42" s="59"/>
      <x:c r="FI42" s="59"/>
      <x:c r="FJ42" s="59"/>
      <x:c r="FK42" s="59"/>
      <x:c r="FL42" s="59"/>
      <x:c r="FM42" s="59"/>
      <x:c r="FN42" s="59"/>
      <x:c r="FO42" s="59"/>
      <x:c r="FP42" s="59"/>
      <x:c r="FQ42" s="59"/>
      <x:c r="FR42" s="59"/>
      <x:c r="FS42" s="59"/>
      <x:c r="FT42" s="59"/>
      <x:c r="FU42" s="59"/>
      <x:c r="FV42" s="59"/>
      <x:c r="FW42" s="59"/>
      <x:c r="FX42" s="59"/>
      <x:c r="FY42" s="59"/>
      <x:c r="FZ42" s="59"/>
      <x:c r="GA42" s="59"/>
      <x:c r="GB42" s="59"/>
      <x:c r="GC42" s="59"/>
      <x:c r="GD42" s="59"/>
      <x:c r="GE42" s="59"/>
      <x:c r="GF42" s="59"/>
      <x:c r="GG42" s="59"/>
      <x:c r="GH42" s="59"/>
      <x:c r="GI42" s="59"/>
      <x:c r="GJ42" s="59"/>
      <x:c r="GK42" s="59"/>
      <x:c r="GL42" s="59"/>
      <x:c r="GM42" s="59"/>
      <x:c r="GN42" s="59"/>
      <x:c r="GO42" s="59"/>
      <x:c r="GP42" s="59"/>
      <x:c r="GQ42" s="59"/>
      <x:c r="GR42" s="59"/>
      <x:c r="GS42" s="59"/>
      <x:c r="GT42" s="59"/>
      <x:c r="GU42" s="59"/>
      <x:c r="GV42" s="59"/>
      <x:c r="GW42" s="59"/>
      <x:c r="GX42" s="59"/>
      <x:c r="GY42" s="59"/>
      <x:c r="GZ42" s="59"/>
      <x:c r="HA42" s="59"/>
      <x:c r="HB42" s="59"/>
      <x:c r="HC42" s="59"/>
      <x:c r="HD42" s="59"/>
      <x:c r="HE42" s="59"/>
      <x:c r="HF42" s="59"/>
      <x:c r="HG42" s="59"/>
      <x:c r="HH42" s="59"/>
      <x:c r="HI42" s="59"/>
      <x:c r="HJ42" s="59"/>
      <x:c r="HK42" s="59"/>
      <x:c r="HL42" s="59"/>
      <x:c r="HM42" s="59"/>
      <x:c r="HN42" s="59"/>
      <x:c r="HO42" s="59"/>
      <x:c r="HP42" s="59"/>
      <x:c r="HQ42" s="59"/>
      <x:c r="HR42" s="59"/>
      <x:c r="HS42" s="59"/>
      <x:c r="HT42" s="59"/>
      <x:c r="HU42" s="59"/>
      <x:c r="HV42" s="59"/>
      <x:c r="HW42" s="59"/>
      <x:c r="HX42" s="59"/>
      <x:c r="HY42" s="59"/>
      <x:c r="HZ42" s="59"/>
      <x:c r="IA42" s="59"/>
      <x:c r="IB42" s="59"/>
      <x:c r="IC42" s="59"/>
      <x:c r="ID42" s="59"/>
      <x:c r="IE42" s="59"/>
      <x:c r="IF42" s="59"/>
      <x:c r="IG42" s="59"/>
      <x:c r="IH42" s="59"/>
      <x:c r="II42" s="59"/>
      <x:c r="IJ42" s="59"/>
      <x:c r="IK42" s="59"/>
      <x:c r="IL42" s="59"/>
      <x:c r="IM42" s="59"/>
      <x:c r="IN42" s="59"/>
      <x:c r="IO42" s="59"/>
      <x:c r="IP42" s="59"/>
      <x:c r="IQ42" s="59"/>
      <x:c r="IR42" s="59"/>
      <x:c r="IS42" s="59"/>
      <x:c r="IT42" s="59"/>
      <x:c r="IU42" s="59"/>
      <x:c r="IV42" s="59"/>
      <x:c r="IW42" s="59"/>
      <x:c r="IX42" s="59"/>
      <x:c r="IY42" s="59"/>
      <x:c r="IZ42" s="59"/>
      <x:c r="JA42" s="59"/>
      <x:c r="JB42" s="59"/>
      <x:c r="JC42" s="59"/>
      <x:c r="JD42" s="59"/>
      <x:c r="JE42" s="59"/>
      <x:c r="JF42" s="59"/>
      <x:c r="JG42" s="59"/>
      <x:c r="JH42" s="59"/>
      <x:c r="JI42" s="59"/>
      <x:c r="JJ42" s="59"/>
      <x:c r="JK42" s="59"/>
      <x:c r="JL42" s="59"/>
      <x:c r="JM42" s="59"/>
      <x:c r="JN42" s="59"/>
      <x:c r="JO42" s="59"/>
      <x:c r="JP42" s="59"/>
      <x:c r="JQ42" s="59"/>
      <x:c r="JR42" s="59"/>
      <x:c r="JS42" s="59"/>
      <x:c r="JT42" s="59"/>
      <x:c r="JU42" s="59"/>
      <x:c r="JV42" s="59"/>
      <x:c r="JW42" s="59"/>
      <x:c r="JX42" s="59"/>
      <x:c r="JY42" s="59"/>
      <x:c r="JZ42" s="59"/>
      <x:c r="KA42" s="59"/>
      <x:c r="KB42" s="59"/>
      <x:c r="KC42" s="59"/>
      <x:c r="KD42" s="59"/>
      <x:c r="KE42" s="59"/>
      <x:c r="KF42" s="59"/>
      <x:c r="KG42" s="59"/>
      <x:c r="KH42" s="59"/>
      <x:c r="KI42" s="59"/>
      <x:c r="KJ42" s="59"/>
      <x:c r="KK42" s="59"/>
      <x:c r="KL42" s="59"/>
      <x:c r="KM42" s="59"/>
      <x:c r="KN42" s="59"/>
      <x:c r="KO42" s="59"/>
      <x:c r="KP42" s="59"/>
      <x:c r="KQ42" s="59"/>
      <x:c r="KR42" s="59"/>
      <x:c r="KS42" s="59"/>
      <x:c r="KT42" s="59"/>
      <x:c r="KU42" s="59"/>
      <x:c r="KV42" s="59"/>
      <x:c r="KW42" s="59"/>
      <x:c r="KX42" s="59"/>
      <x:c r="KY42" s="59"/>
      <x:c r="KZ42" s="59"/>
      <x:c r="LA42" s="59"/>
      <x:c r="LB42" s="59"/>
      <x:c r="LC42" s="59"/>
      <x:c r="LD42" s="59"/>
      <x:c r="LE42" s="59"/>
      <x:c r="LF42" s="59"/>
      <x:c r="LG42" s="59"/>
      <x:c r="LH42" s="59"/>
      <x:c r="LI42" s="59"/>
      <x:c r="LJ42" s="59"/>
      <x:c r="LK42" s="59"/>
      <x:c r="LL42" s="59"/>
      <x:c r="LM42" s="59"/>
      <x:c r="LN42" s="59"/>
      <x:c r="LO42" s="59"/>
      <x:c r="LP42" s="59"/>
      <x:c r="LQ42" s="59"/>
      <x:c r="LR42" s="59"/>
      <x:c r="LS42" s="59"/>
      <x:c r="LT42" s="59"/>
      <x:c r="LU42" s="59"/>
      <x:c r="LV42" s="59"/>
      <x:c r="LW42" s="59"/>
      <x:c r="LX42" s="59"/>
      <x:c r="LY42" s="59"/>
      <x:c r="LZ42" s="59"/>
      <x:c r="MA42" s="59"/>
      <x:c r="MB42" s="59"/>
      <x:c r="MC42" s="59"/>
      <x:c r="MD42" s="59"/>
      <x:c r="ME42" s="59"/>
      <x:c r="MF42" s="59"/>
      <x:c r="MG42" s="59"/>
      <x:c r="MH42" s="59"/>
      <x:c r="MI42" s="59"/>
      <x:c r="MJ42" s="59"/>
      <x:c r="MK42" s="59"/>
      <x:c r="ML42" s="59"/>
      <x:c r="MM42" s="59"/>
      <x:c r="MN42" s="59"/>
      <x:c r="MO42" s="59"/>
      <x:c r="MP42" s="59"/>
      <x:c r="MQ42" s="59"/>
      <x:c r="MR42" s="59"/>
      <x:c r="MS42" s="59"/>
      <x:c r="MT42" s="59"/>
      <x:c r="MU42" s="59"/>
      <x:c r="MV42" s="59"/>
      <x:c r="MW42" s="59"/>
      <x:c r="MX42" s="59"/>
      <x:c r="MY42" s="59"/>
      <x:c r="MZ42" s="59"/>
      <x:c r="NA42" s="59"/>
      <x:c r="NB42" s="59"/>
      <x:c r="NC42" s="59"/>
      <x:c r="ND42" s="59"/>
      <x:c r="NE42" s="59"/>
      <x:c r="NF42" s="59"/>
      <x:c r="NG42" s="59"/>
      <x:c r="NH42" s="59"/>
      <x:c r="NI42" s="59"/>
      <x:c r="NJ42" s="59"/>
      <x:c r="NK42" s="59"/>
      <x:c r="NL42" s="59"/>
      <x:c r="NM42" s="59"/>
      <x:c r="NN42" s="59"/>
      <x:c r="NO42" s="59"/>
      <x:c r="NP42" s="59"/>
      <x:c r="NQ42" s="59"/>
      <x:c r="NR42" s="59"/>
      <x:c r="NS42" s="59"/>
      <x:c r="NT42" s="59"/>
      <x:c r="NU42" s="59"/>
      <x:c r="NV42" s="59"/>
      <x:c r="NW42" s="59"/>
      <x:c r="NX42" s="59"/>
      <x:c r="NY42" s="59"/>
      <x:c r="NZ42" s="59"/>
      <x:c r="OA42" s="59"/>
      <x:c r="OB42" s="59"/>
      <x:c r="OC42" s="59"/>
      <x:c r="OD42" s="59"/>
      <x:c r="OE42" s="59"/>
      <x:c r="OF42" s="59"/>
      <x:c r="OG42" s="59"/>
      <x:c r="OH42" s="59"/>
      <x:c r="OI42" s="59"/>
      <x:c r="OJ42" s="59"/>
      <x:c r="OK42" s="59"/>
      <x:c r="OL42" s="59"/>
      <x:c r="OM42" s="59"/>
      <x:c r="ON42" s="59"/>
      <x:c r="OO42" s="59"/>
      <x:c r="OP42" s="59"/>
      <x:c r="OQ42" s="59"/>
      <x:c r="OR42" s="59"/>
      <x:c r="OS42" s="59"/>
      <x:c r="OT42" s="59"/>
      <x:c r="OU42" s="59"/>
      <x:c r="OV42" s="59"/>
      <x:c r="OW42" s="59"/>
      <x:c r="OX42" s="59"/>
      <x:c r="OY42" s="59"/>
      <x:c r="OZ42" s="59"/>
      <x:c r="PA42" s="59"/>
      <x:c r="PB42" s="59"/>
      <x:c r="PC42" s="59"/>
      <x:c r="PD42" s="59"/>
      <x:c r="PE42" s="59"/>
      <x:c r="PF42" s="59"/>
      <x:c r="PG42" s="59"/>
      <x:c r="PH42" s="59"/>
      <x:c r="PI42" s="59"/>
      <x:c r="PJ42" s="59"/>
      <x:c r="PK42" s="59"/>
      <x:c r="PL42" s="59"/>
      <x:c r="PM42" s="59"/>
      <x:c r="PN42" s="59"/>
      <x:c r="PO42" s="59"/>
      <x:c r="PP42" s="59"/>
      <x:c r="PQ42" s="59"/>
      <x:c r="PR42" s="59"/>
      <x:c r="PS42" s="59"/>
      <x:c r="PT42" s="59"/>
      <x:c r="PU42" s="59"/>
      <x:c r="PV42" s="59"/>
      <x:c r="PW42" s="59"/>
      <x:c r="PX42" s="59"/>
      <x:c r="PY42" s="59"/>
      <x:c r="PZ42" s="59"/>
      <x:c r="QA42" s="59"/>
      <x:c r="QB42" s="59"/>
      <x:c r="QC42" s="59"/>
      <x:c r="QD42" s="59"/>
      <x:c r="QE42" s="59"/>
      <x:c r="QF42" s="59"/>
      <x:c r="QG42" s="59"/>
      <x:c r="QH42" s="59"/>
      <x:c r="QI42" s="59"/>
      <x:c r="QJ42" s="59"/>
      <x:c r="QK42" s="59"/>
      <x:c r="QL42" s="59"/>
      <x:c r="QM42" s="59"/>
      <x:c r="QN42" s="59"/>
      <x:c r="QO42" s="59"/>
      <x:c r="QP42" s="59"/>
      <x:c r="QQ42" s="59"/>
      <x:c r="QR42" s="59"/>
      <x:c r="QS42" s="59"/>
      <x:c r="QT42" s="59"/>
      <x:c r="QU42" s="59"/>
      <x:c r="QV42" s="59"/>
      <x:c r="QW42" s="59"/>
      <x:c r="QX42" s="59"/>
      <x:c r="QY42" s="59"/>
      <x:c r="QZ42" s="59"/>
      <x:c r="RA42" s="59"/>
      <x:c r="RB42" s="59"/>
      <x:c r="RC42" s="59"/>
      <x:c r="RD42" s="59"/>
      <x:c r="RE42" s="59"/>
      <x:c r="RF42" s="59"/>
      <x:c r="RG42" s="59"/>
      <x:c r="RH42" s="59"/>
      <x:c r="RI42" s="59"/>
      <x:c r="RJ42" s="59"/>
      <x:c r="RK42" s="59"/>
      <x:c r="RL42" s="59"/>
      <x:c r="RM42" s="59"/>
      <x:c r="RN42" s="59"/>
      <x:c r="RO42" s="59"/>
      <x:c r="RP42" s="59"/>
      <x:c r="RQ42" s="59"/>
      <x:c r="RR42" s="59"/>
      <x:c r="RS42" s="59"/>
      <x:c r="RT42" s="59"/>
      <x:c r="RU42" s="59"/>
      <x:c r="RV42" s="59"/>
      <x:c r="RW42" s="59"/>
      <x:c r="RX42" s="59"/>
      <x:c r="RY42" s="59"/>
      <x:c r="RZ42" s="59"/>
      <x:c r="SA42" s="59"/>
      <x:c r="SB42" s="59"/>
      <x:c r="SC42" s="59"/>
      <x:c r="SD42" s="59"/>
      <x:c r="SE42" s="59"/>
      <x:c r="SF42" s="59"/>
    </x:row>
    <x:row r="43" ht="27" customHeight="1">
      <x:c r="A43" s="61" t="s">
        <x:v>91</x:v>
      </x:c>
      <x:c r="B43" s="66" t="s">
        <x:v>92</x:v>
      </x:c>
      <x:c r="C43" s="66"/>
      <x:c r="D43" s="63" t="s">
        <x:v>93</x:v>
      </x:c>
      <x:c r="E43" s="63"/>
      <x:c r="F43" s="63"/>
      <x:c r="G43" s="63" t="s">
        <x:v>94</x:v>
      </x:c>
      <x:c r="H43" s="63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  <x:c r="AA43" s="59"/>
      <x:c r="AB43" s="59"/>
      <x:c r="AC43" s="59"/>
      <x:c r="AD43" s="59"/>
      <x:c r="AE43" s="59"/>
      <x:c r="AF43" s="59"/>
      <x:c r="AG43" s="59"/>
      <x:c r="AH43" s="59"/>
      <x:c r="AI43" s="59"/>
      <x:c r="AJ43" s="59"/>
      <x:c r="AK43" s="59"/>
      <x:c r="AL43" s="59"/>
      <x:c r="AM43" s="59"/>
      <x:c r="AN43" s="59"/>
      <x:c r="AO43" s="59"/>
      <x:c r="AP43" s="59"/>
      <x:c r="AQ43" s="59"/>
      <x:c r="AR43" s="59"/>
      <x:c r="AS43" s="59"/>
      <x:c r="AT43" s="59"/>
      <x:c r="AU43" s="59"/>
      <x:c r="AV43" s="59"/>
      <x:c r="AW43" s="59"/>
      <x:c r="AX43" s="59"/>
      <x:c r="AY43" s="59"/>
      <x:c r="AZ43" s="59"/>
      <x:c r="BA43" s="59"/>
      <x:c r="BB43" s="59"/>
      <x:c r="BC43" s="59"/>
      <x:c r="BD43" s="59"/>
      <x:c r="BE43" s="59"/>
      <x:c r="BF43" s="59"/>
      <x:c r="BG43" s="59"/>
      <x:c r="BH43" s="59"/>
      <x:c r="BI43" s="59"/>
      <x:c r="BJ43" s="59"/>
      <x:c r="BK43" s="59"/>
      <x:c r="BL43" s="59"/>
      <x:c r="BM43" s="59"/>
      <x:c r="BN43" s="59"/>
      <x:c r="BO43" s="59"/>
      <x:c r="BP43" s="59"/>
      <x:c r="BQ43" s="59"/>
      <x:c r="BR43" s="59"/>
      <x:c r="BS43" s="59"/>
      <x:c r="BT43" s="59"/>
      <x:c r="BU43" s="59"/>
      <x:c r="BV43" s="59"/>
      <x:c r="BW43" s="59"/>
      <x:c r="BX43" s="59"/>
      <x:c r="BY43" s="59"/>
      <x:c r="BZ43" s="59"/>
      <x:c r="CA43" s="59"/>
      <x:c r="CB43" s="59"/>
      <x:c r="CC43" s="59"/>
      <x:c r="CD43" s="59"/>
      <x:c r="CE43" s="59"/>
      <x:c r="CF43" s="59"/>
      <x:c r="CG43" s="59"/>
      <x:c r="CH43" s="59"/>
      <x:c r="CI43" s="59"/>
      <x:c r="CJ43" s="59"/>
      <x:c r="CK43" s="59"/>
      <x:c r="CL43" s="59"/>
      <x:c r="CM43" s="59"/>
      <x:c r="CN43" s="59"/>
      <x:c r="CO43" s="59"/>
      <x:c r="CP43" s="59"/>
      <x:c r="CQ43" s="59"/>
      <x:c r="CR43" s="59"/>
      <x:c r="CS43" s="59"/>
      <x:c r="CT43" s="59"/>
      <x:c r="CU43" s="59"/>
      <x:c r="CV43" s="59"/>
      <x:c r="CW43" s="59"/>
      <x:c r="CX43" s="59"/>
      <x:c r="CY43" s="59"/>
      <x:c r="CZ43" s="59"/>
      <x:c r="DA43" s="59"/>
      <x:c r="DB43" s="59"/>
      <x:c r="DC43" s="59"/>
      <x:c r="DD43" s="59"/>
      <x:c r="DE43" s="59"/>
      <x:c r="DF43" s="59"/>
      <x:c r="DG43" s="59"/>
      <x:c r="DH43" s="59"/>
      <x:c r="DI43" s="59"/>
      <x:c r="DJ43" s="59"/>
      <x:c r="DK43" s="59"/>
      <x:c r="DL43" s="59"/>
      <x:c r="DM43" s="59"/>
      <x:c r="DN43" s="59"/>
      <x:c r="DO43" s="59"/>
      <x:c r="DP43" s="59"/>
      <x:c r="DQ43" s="59"/>
      <x:c r="DR43" s="59"/>
      <x:c r="DS43" s="59"/>
      <x:c r="DT43" s="59"/>
      <x:c r="DU43" s="59"/>
      <x:c r="DV43" s="59"/>
      <x:c r="DW43" s="59"/>
      <x:c r="DX43" s="59"/>
      <x:c r="DY43" s="59"/>
      <x:c r="DZ43" s="59"/>
      <x:c r="EA43" s="59"/>
      <x:c r="EB43" s="59"/>
      <x:c r="EC43" s="59"/>
      <x:c r="ED43" s="59"/>
      <x:c r="EE43" s="59"/>
      <x:c r="EF43" s="59"/>
      <x:c r="EG43" s="59"/>
      <x:c r="EH43" s="59"/>
      <x:c r="EI43" s="59"/>
      <x:c r="EJ43" s="59"/>
      <x:c r="EK43" s="59"/>
      <x:c r="EL43" s="59"/>
      <x:c r="EM43" s="59"/>
      <x:c r="EN43" s="59"/>
      <x:c r="EO43" s="59"/>
      <x:c r="EP43" s="59"/>
      <x:c r="EQ43" s="59"/>
      <x:c r="ER43" s="59"/>
      <x:c r="ES43" s="59"/>
      <x:c r="ET43" s="59"/>
      <x:c r="EU43" s="59"/>
      <x:c r="EV43" s="59"/>
      <x:c r="EW43" s="59"/>
      <x:c r="EX43" s="59"/>
      <x:c r="EY43" s="59"/>
      <x:c r="EZ43" s="59"/>
      <x:c r="FA43" s="59"/>
      <x:c r="FB43" s="59"/>
      <x:c r="FC43" s="59"/>
      <x:c r="FD43" s="59"/>
      <x:c r="FE43" s="59"/>
      <x:c r="FF43" s="59"/>
      <x:c r="FG43" s="59"/>
      <x:c r="FH43" s="59"/>
      <x:c r="FI43" s="59"/>
      <x:c r="FJ43" s="59"/>
      <x:c r="FK43" s="59"/>
      <x:c r="FL43" s="59"/>
      <x:c r="FM43" s="59"/>
      <x:c r="FN43" s="59"/>
      <x:c r="FO43" s="59"/>
      <x:c r="FP43" s="59"/>
      <x:c r="FQ43" s="59"/>
      <x:c r="FR43" s="59"/>
      <x:c r="FS43" s="59"/>
      <x:c r="FT43" s="59"/>
      <x:c r="FU43" s="59"/>
      <x:c r="FV43" s="59"/>
      <x:c r="FW43" s="59"/>
      <x:c r="FX43" s="59"/>
      <x:c r="FY43" s="59"/>
      <x:c r="FZ43" s="59"/>
      <x:c r="GA43" s="59"/>
      <x:c r="GB43" s="59"/>
      <x:c r="GC43" s="59"/>
      <x:c r="GD43" s="59"/>
      <x:c r="GE43" s="59"/>
      <x:c r="GF43" s="59"/>
      <x:c r="GG43" s="59"/>
      <x:c r="GH43" s="59"/>
      <x:c r="GI43" s="59"/>
      <x:c r="GJ43" s="59"/>
      <x:c r="GK43" s="59"/>
      <x:c r="GL43" s="59"/>
      <x:c r="GM43" s="59"/>
      <x:c r="GN43" s="59"/>
      <x:c r="GO43" s="59"/>
      <x:c r="GP43" s="59"/>
      <x:c r="GQ43" s="59"/>
      <x:c r="GR43" s="59"/>
      <x:c r="GS43" s="59"/>
      <x:c r="GT43" s="59"/>
      <x:c r="GU43" s="59"/>
      <x:c r="GV43" s="59"/>
      <x:c r="GW43" s="59"/>
      <x:c r="GX43" s="59"/>
      <x:c r="GY43" s="59"/>
      <x:c r="GZ43" s="59"/>
      <x:c r="HA43" s="59"/>
      <x:c r="HB43" s="59"/>
      <x:c r="HC43" s="59"/>
      <x:c r="HD43" s="59"/>
      <x:c r="HE43" s="59"/>
      <x:c r="HF43" s="59"/>
      <x:c r="HG43" s="59"/>
      <x:c r="HH43" s="59"/>
      <x:c r="HI43" s="59"/>
      <x:c r="HJ43" s="59"/>
      <x:c r="HK43" s="59"/>
      <x:c r="HL43" s="59"/>
      <x:c r="HM43" s="59"/>
      <x:c r="HN43" s="59"/>
      <x:c r="HO43" s="59"/>
      <x:c r="HP43" s="59"/>
      <x:c r="HQ43" s="59"/>
      <x:c r="HR43" s="59"/>
      <x:c r="HS43" s="59"/>
      <x:c r="HT43" s="59"/>
      <x:c r="HU43" s="59"/>
      <x:c r="HV43" s="59"/>
      <x:c r="HW43" s="59"/>
      <x:c r="HX43" s="59"/>
      <x:c r="HY43" s="59"/>
      <x:c r="HZ43" s="59"/>
      <x:c r="IA43" s="59"/>
      <x:c r="IB43" s="59"/>
      <x:c r="IC43" s="59"/>
      <x:c r="ID43" s="59"/>
      <x:c r="IE43" s="59"/>
      <x:c r="IF43" s="59"/>
      <x:c r="IG43" s="59"/>
      <x:c r="IH43" s="59"/>
      <x:c r="II43" s="59"/>
      <x:c r="IJ43" s="59"/>
      <x:c r="IK43" s="59"/>
      <x:c r="IL43" s="59"/>
      <x:c r="IM43" s="59"/>
      <x:c r="IN43" s="59"/>
      <x:c r="IO43" s="59"/>
      <x:c r="IP43" s="59"/>
      <x:c r="IQ43" s="59"/>
      <x:c r="IR43" s="59"/>
      <x:c r="IS43" s="59"/>
      <x:c r="IT43" s="59"/>
      <x:c r="IU43" s="59"/>
      <x:c r="IV43" s="59"/>
      <x:c r="IW43" s="59"/>
      <x:c r="IX43" s="59"/>
      <x:c r="IY43" s="59"/>
      <x:c r="IZ43" s="59"/>
      <x:c r="JA43" s="59"/>
      <x:c r="JB43" s="59"/>
      <x:c r="JC43" s="59"/>
      <x:c r="JD43" s="59"/>
      <x:c r="JE43" s="59"/>
      <x:c r="JF43" s="59"/>
      <x:c r="JG43" s="59"/>
      <x:c r="JH43" s="59"/>
      <x:c r="JI43" s="59"/>
      <x:c r="JJ43" s="59"/>
      <x:c r="JK43" s="59"/>
      <x:c r="JL43" s="59"/>
      <x:c r="JM43" s="59"/>
      <x:c r="JN43" s="59"/>
      <x:c r="JO43" s="59"/>
      <x:c r="JP43" s="59"/>
      <x:c r="JQ43" s="59"/>
      <x:c r="JR43" s="59"/>
      <x:c r="JS43" s="59"/>
      <x:c r="JT43" s="59"/>
      <x:c r="JU43" s="59"/>
      <x:c r="JV43" s="59"/>
      <x:c r="JW43" s="59"/>
      <x:c r="JX43" s="59"/>
      <x:c r="JY43" s="59"/>
      <x:c r="JZ43" s="59"/>
      <x:c r="KA43" s="59"/>
      <x:c r="KB43" s="59"/>
      <x:c r="KC43" s="59"/>
      <x:c r="KD43" s="59"/>
      <x:c r="KE43" s="59"/>
      <x:c r="KF43" s="59"/>
      <x:c r="KG43" s="59"/>
      <x:c r="KH43" s="59"/>
      <x:c r="KI43" s="59"/>
      <x:c r="KJ43" s="59"/>
      <x:c r="KK43" s="59"/>
      <x:c r="KL43" s="59"/>
      <x:c r="KM43" s="59"/>
      <x:c r="KN43" s="59"/>
      <x:c r="KO43" s="59"/>
      <x:c r="KP43" s="59"/>
      <x:c r="KQ43" s="59"/>
      <x:c r="KR43" s="59"/>
      <x:c r="KS43" s="59"/>
      <x:c r="KT43" s="59"/>
      <x:c r="KU43" s="59"/>
      <x:c r="KV43" s="59"/>
      <x:c r="KW43" s="59"/>
      <x:c r="KX43" s="59"/>
      <x:c r="KY43" s="59"/>
      <x:c r="KZ43" s="59"/>
      <x:c r="LA43" s="59"/>
      <x:c r="LB43" s="59"/>
      <x:c r="LC43" s="59"/>
      <x:c r="LD43" s="59"/>
      <x:c r="LE43" s="59"/>
      <x:c r="LF43" s="59"/>
      <x:c r="LG43" s="59"/>
      <x:c r="LH43" s="59"/>
      <x:c r="LI43" s="59"/>
      <x:c r="LJ43" s="59"/>
      <x:c r="LK43" s="59"/>
      <x:c r="LL43" s="59"/>
      <x:c r="LM43" s="59"/>
      <x:c r="LN43" s="59"/>
      <x:c r="LO43" s="59"/>
      <x:c r="LP43" s="59"/>
      <x:c r="LQ43" s="59"/>
      <x:c r="LR43" s="59"/>
      <x:c r="LS43" s="59"/>
      <x:c r="LT43" s="59"/>
      <x:c r="LU43" s="59"/>
      <x:c r="LV43" s="59"/>
      <x:c r="LW43" s="59"/>
      <x:c r="LX43" s="59"/>
      <x:c r="LY43" s="59"/>
      <x:c r="LZ43" s="59"/>
      <x:c r="MA43" s="59"/>
      <x:c r="MB43" s="59"/>
      <x:c r="MC43" s="59"/>
      <x:c r="MD43" s="59"/>
      <x:c r="ME43" s="59"/>
      <x:c r="MF43" s="59"/>
      <x:c r="MG43" s="59"/>
      <x:c r="MH43" s="59"/>
      <x:c r="MI43" s="59"/>
      <x:c r="MJ43" s="59"/>
      <x:c r="MK43" s="59"/>
      <x:c r="ML43" s="59"/>
      <x:c r="MM43" s="59"/>
      <x:c r="MN43" s="59"/>
      <x:c r="MO43" s="59"/>
      <x:c r="MP43" s="59"/>
      <x:c r="MQ43" s="59"/>
      <x:c r="MR43" s="59"/>
      <x:c r="MS43" s="59"/>
      <x:c r="MT43" s="59"/>
      <x:c r="MU43" s="59"/>
      <x:c r="MV43" s="59"/>
      <x:c r="MW43" s="59"/>
      <x:c r="MX43" s="59"/>
      <x:c r="MY43" s="59"/>
      <x:c r="MZ43" s="59"/>
      <x:c r="NA43" s="59"/>
      <x:c r="NB43" s="59"/>
      <x:c r="NC43" s="59"/>
      <x:c r="ND43" s="59"/>
      <x:c r="NE43" s="59"/>
      <x:c r="NF43" s="59"/>
      <x:c r="NG43" s="59"/>
      <x:c r="NH43" s="59"/>
      <x:c r="NI43" s="59"/>
      <x:c r="NJ43" s="59"/>
      <x:c r="NK43" s="59"/>
      <x:c r="NL43" s="59"/>
      <x:c r="NM43" s="59"/>
      <x:c r="NN43" s="59"/>
      <x:c r="NO43" s="59"/>
      <x:c r="NP43" s="59"/>
      <x:c r="NQ43" s="59"/>
      <x:c r="NR43" s="59"/>
      <x:c r="NS43" s="59"/>
      <x:c r="NT43" s="59"/>
      <x:c r="NU43" s="59"/>
      <x:c r="NV43" s="59"/>
      <x:c r="NW43" s="59"/>
      <x:c r="NX43" s="59"/>
      <x:c r="NY43" s="59"/>
      <x:c r="NZ43" s="59"/>
      <x:c r="OA43" s="59"/>
      <x:c r="OB43" s="59"/>
      <x:c r="OC43" s="59"/>
      <x:c r="OD43" s="59"/>
      <x:c r="OE43" s="59"/>
      <x:c r="OF43" s="59"/>
      <x:c r="OG43" s="59"/>
      <x:c r="OH43" s="59"/>
      <x:c r="OI43" s="59"/>
      <x:c r="OJ43" s="59"/>
      <x:c r="OK43" s="59"/>
      <x:c r="OL43" s="59"/>
      <x:c r="OM43" s="59"/>
      <x:c r="ON43" s="59"/>
      <x:c r="OO43" s="59"/>
      <x:c r="OP43" s="59"/>
      <x:c r="OQ43" s="59"/>
      <x:c r="OR43" s="59"/>
      <x:c r="OS43" s="59"/>
      <x:c r="OT43" s="59"/>
      <x:c r="OU43" s="59"/>
      <x:c r="OV43" s="59"/>
      <x:c r="OW43" s="59"/>
      <x:c r="OX43" s="59"/>
      <x:c r="OY43" s="59"/>
      <x:c r="OZ43" s="59"/>
      <x:c r="PA43" s="59"/>
      <x:c r="PB43" s="59"/>
      <x:c r="PC43" s="59"/>
      <x:c r="PD43" s="59"/>
      <x:c r="PE43" s="59"/>
      <x:c r="PF43" s="59"/>
      <x:c r="PG43" s="59"/>
      <x:c r="PH43" s="59"/>
      <x:c r="PI43" s="59"/>
      <x:c r="PJ43" s="59"/>
      <x:c r="PK43" s="59"/>
      <x:c r="PL43" s="59"/>
      <x:c r="PM43" s="59"/>
      <x:c r="PN43" s="59"/>
      <x:c r="PO43" s="59"/>
      <x:c r="PP43" s="59"/>
      <x:c r="PQ43" s="59"/>
      <x:c r="PR43" s="59"/>
      <x:c r="PS43" s="59"/>
      <x:c r="PT43" s="59"/>
      <x:c r="PU43" s="59"/>
      <x:c r="PV43" s="59"/>
      <x:c r="PW43" s="59"/>
      <x:c r="PX43" s="59"/>
      <x:c r="PY43" s="59"/>
      <x:c r="PZ43" s="59"/>
      <x:c r="QA43" s="59"/>
      <x:c r="QB43" s="59"/>
      <x:c r="QC43" s="59"/>
      <x:c r="QD43" s="59"/>
      <x:c r="QE43" s="59"/>
      <x:c r="QF43" s="59"/>
      <x:c r="QG43" s="59"/>
      <x:c r="QH43" s="59"/>
      <x:c r="QI43" s="59"/>
      <x:c r="QJ43" s="59"/>
      <x:c r="QK43" s="59"/>
      <x:c r="QL43" s="59"/>
      <x:c r="QM43" s="59"/>
      <x:c r="QN43" s="59"/>
      <x:c r="QO43" s="59"/>
      <x:c r="QP43" s="59"/>
      <x:c r="QQ43" s="59"/>
      <x:c r="QR43" s="59"/>
      <x:c r="QS43" s="59"/>
      <x:c r="QT43" s="59"/>
      <x:c r="QU43" s="59"/>
      <x:c r="QV43" s="59"/>
      <x:c r="QW43" s="59"/>
      <x:c r="QX43" s="59"/>
      <x:c r="QY43" s="59"/>
      <x:c r="QZ43" s="59"/>
      <x:c r="RA43" s="59"/>
      <x:c r="RB43" s="59"/>
      <x:c r="RC43" s="59"/>
      <x:c r="RD43" s="59"/>
      <x:c r="RE43" s="59"/>
      <x:c r="RF43" s="59"/>
      <x:c r="RG43" s="59"/>
      <x:c r="RH43" s="59"/>
      <x:c r="RI43" s="59"/>
      <x:c r="RJ43" s="59"/>
      <x:c r="RK43" s="59"/>
      <x:c r="RL43" s="59"/>
      <x:c r="RM43" s="59"/>
      <x:c r="RN43" s="59"/>
      <x:c r="RO43" s="59"/>
      <x:c r="RP43" s="59"/>
      <x:c r="RQ43" s="59"/>
      <x:c r="RR43" s="59"/>
      <x:c r="RS43" s="59"/>
      <x:c r="RT43" s="59"/>
      <x:c r="RU43" s="59"/>
      <x:c r="RV43" s="59"/>
      <x:c r="RW43" s="59"/>
      <x:c r="RX43" s="59"/>
      <x:c r="RY43" s="59"/>
      <x:c r="RZ43" s="59"/>
      <x:c r="SA43" s="59"/>
      <x:c r="SB43" s="59"/>
      <x:c r="SC43" s="59"/>
      <x:c r="SD43" s="59"/>
      <x:c r="SE43" s="59"/>
      <x:c r="SF43" s="59"/>
    </x:row>
    <x:row r="44" ht="27" customHeight="1">
      <x:c r="A44" s="61" t="s">
        <x:v>95</x:v>
      </x:c>
      <x:c r="B44" s="66" t="s">
        <x:v>96</x:v>
      </x:c>
      <x:c r="C44" s="66"/>
      <x:c r="D44" s="63" t="s">
        <x:v>97</x:v>
      </x:c>
      <x:c r="E44" s="63"/>
      <x:c r="F44" s="63"/>
      <x:c r="G44" s="63" t="str">
        <x:v>Example: "Client Services Specialist - Jan 2026"</x:v>
      </x:c>
      <x:c r="H44" s="63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  <x:c r="AA44" s="59"/>
      <x:c r="AB44" s="59"/>
      <x:c r="AC44" s="59"/>
      <x:c r="AD44" s="59"/>
      <x:c r="AE44" s="59"/>
      <x:c r="AF44" s="59"/>
      <x:c r="AG44" s="59"/>
      <x:c r="AH44" s="59"/>
      <x:c r="AI44" s="59"/>
      <x:c r="AJ44" s="59"/>
      <x:c r="AK44" s="59"/>
      <x:c r="AL44" s="59"/>
      <x:c r="AM44" s="59"/>
      <x:c r="AN44" s="59"/>
      <x:c r="AO44" s="59"/>
      <x:c r="AP44" s="59"/>
      <x:c r="AQ44" s="59"/>
      <x:c r="AR44" s="59"/>
      <x:c r="AS44" s="59"/>
      <x:c r="AT44" s="59"/>
      <x:c r="AU44" s="59"/>
      <x:c r="AV44" s="59"/>
      <x:c r="AW44" s="59"/>
      <x:c r="AX44" s="59"/>
      <x:c r="AY44" s="59"/>
      <x:c r="AZ44" s="59"/>
      <x:c r="BA44" s="59"/>
      <x:c r="BB44" s="59"/>
      <x:c r="BC44" s="59"/>
      <x:c r="BD44" s="59"/>
      <x:c r="BE44" s="59"/>
      <x:c r="BF44" s="59"/>
      <x:c r="BG44" s="59"/>
      <x:c r="BH44" s="59"/>
      <x:c r="BI44" s="59"/>
      <x:c r="BJ44" s="59"/>
      <x:c r="BK44" s="59"/>
      <x:c r="BL44" s="59"/>
      <x:c r="BM44" s="59"/>
      <x:c r="BN44" s="59"/>
      <x:c r="BO44" s="59"/>
      <x:c r="BP44" s="59"/>
      <x:c r="BQ44" s="59"/>
      <x:c r="BR44" s="59"/>
      <x:c r="BS44" s="59"/>
      <x:c r="BT44" s="59"/>
      <x:c r="BU44" s="59"/>
      <x:c r="BV44" s="59"/>
      <x:c r="BW44" s="59"/>
      <x:c r="BX44" s="59"/>
      <x:c r="BY44" s="59"/>
      <x:c r="BZ44" s="59"/>
      <x:c r="CA44" s="59"/>
      <x:c r="CB44" s="59"/>
      <x:c r="CC44" s="59"/>
      <x:c r="CD44" s="59"/>
      <x:c r="CE44" s="59"/>
      <x:c r="CF44" s="59"/>
      <x:c r="CG44" s="59"/>
      <x:c r="CH44" s="59"/>
      <x:c r="CI44" s="59"/>
      <x:c r="CJ44" s="59"/>
      <x:c r="CK44" s="59"/>
      <x:c r="CL44" s="59"/>
      <x:c r="CM44" s="59"/>
      <x:c r="CN44" s="59"/>
      <x:c r="CO44" s="59"/>
      <x:c r="CP44" s="59"/>
      <x:c r="CQ44" s="59"/>
      <x:c r="CR44" s="59"/>
      <x:c r="CS44" s="59"/>
      <x:c r="CT44" s="59"/>
      <x:c r="CU44" s="59"/>
      <x:c r="CV44" s="59"/>
      <x:c r="CW44" s="59"/>
      <x:c r="CX44" s="59"/>
      <x:c r="CY44" s="59"/>
      <x:c r="CZ44" s="59"/>
      <x:c r="DA44" s="59"/>
      <x:c r="DB44" s="59"/>
      <x:c r="DC44" s="59"/>
      <x:c r="DD44" s="59"/>
      <x:c r="DE44" s="59"/>
      <x:c r="DF44" s="59"/>
      <x:c r="DG44" s="59"/>
      <x:c r="DH44" s="59"/>
      <x:c r="DI44" s="59"/>
      <x:c r="DJ44" s="59"/>
      <x:c r="DK44" s="59"/>
      <x:c r="DL44" s="59"/>
      <x:c r="DM44" s="59"/>
      <x:c r="DN44" s="59"/>
      <x:c r="DO44" s="59"/>
      <x:c r="DP44" s="59"/>
      <x:c r="DQ44" s="59"/>
      <x:c r="DR44" s="59"/>
      <x:c r="DS44" s="59"/>
      <x:c r="DT44" s="59"/>
      <x:c r="DU44" s="59"/>
      <x:c r="DV44" s="59"/>
      <x:c r="DW44" s="59"/>
      <x:c r="DX44" s="59"/>
      <x:c r="DY44" s="59"/>
      <x:c r="DZ44" s="59"/>
      <x:c r="EA44" s="59"/>
      <x:c r="EB44" s="59"/>
      <x:c r="EC44" s="59"/>
      <x:c r="ED44" s="59"/>
      <x:c r="EE44" s="59"/>
      <x:c r="EF44" s="59"/>
      <x:c r="EG44" s="59"/>
      <x:c r="EH44" s="59"/>
      <x:c r="EI44" s="59"/>
      <x:c r="EJ44" s="59"/>
      <x:c r="EK44" s="59"/>
      <x:c r="EL44" s="59"/>
      <x:c r="EM44" s="59"/>
      <x:c r="EN44" s="59"/>
      <x:c r="EO44" s="59"/>
      <x:c r="EP44" s="59"/>
      <x:c r="EQ44" s="59"/>
      <x:c r="ER44" s="59"/>
      <x:c r="ES44" s="59"/>
      <x:c r="ET44" s="59"/>
      <x:c r="EU44" s="59"/>
      <x:c r="EV44" s="59"/>
      <x:c r="EW44" s="59"/>
      <x:c r="EX44" s="59"/>
      <x:c r="EY44" s="59"/>
      <x:c r="EZ44" s="59"/>
      <x:c r="FA44" s="59"/>
      <x:c r="FB44" s="59"/>
      <x:c r="FC44" s="59"/>
      <x:c r="FD44" s="59"/>
      <x:c r="FE44" s="59"/>
      <x:c r="FF44" s="59"/>
      <x:c r="FG44" s="59"/>
      <x:c r="FH44" s="59"/>
      <x:c r="FI44" s="59"/>
      <x:c r="FJ44" s="59"/>
      <x:c r="FK44" s="59"/>
      <x:c r="FL44" s="59"/>
      <x:c r="FM44" s="59"/>
      <x:c r="FN44" s="59"/>
      <x:c r="FO44" s="59"/>
      <x:c r="FP44" s="59"/>
      <x:c r="FQ44" s="59"/>
      <x:c r="FR44" s="59"/>
      <x:c r="FS44" s="59"/>
      <x:c r="FT44" s="59"/>
      <x:c r="FU44" s="59"/>
      <x:c r="FV44" s="59"/>
      <x:c r="FW44" s="59"/>
      <x:c r="FX44" s="59"/>
      <x:c r="FY44" s="59"/>
      <x:c r="FZ44" s="59"/>
      <x:c r="GA44" s="59"/>
      <x:c r="GB44" s="59"/>
      <x:c r="GC44" s="59"/>
      <x:c r="GD44" s="59"/>
      <x:c r="GE44" s="59"/>
      <x:c r="GF44" s="59"/>
      <x:c r="GG44" s="59"/>
      <x:c r="GH44" s="59"/>
      <x:c r="GI44" s="59"/>
      <x:c r="GJ44" s="59"/>
      <x:c r="GK44" s="59"/>
      <x:c r="GL44" s="59"/>
      <x:c r="GM44" s="59"/>
      <x:c r="GN44" s="59"/>
      <x:c r="GO44" s="59"/>
      <x:c r="GP44" s="59"/>
      <x:c r="GQ44" s="59"/>
      <x:c r="GR44" s="59"/>
      <x:c r="GS44" s="59"/>
      <x:c r="GT44" s="59"/>
      <x:c r="GU44" s="59"/>
      <x:c r="GV44" s="59"/>
      <x:c r="GW44" s="59"/>
      <x:c r="GX44" s="59"/>
      <x:c r="GY44" s="59"/>
      <x:c r="GZ44" s="59"/>
      <x:c r="HA44" s="59"/>
      <x:c r="HB44" s="59"/>
      <x:c r="HC44" s="59"/>
      <x:c r="HD44" s="59"/>
      <x:c r="HE44" s="59"/>
      <x:c r="HF44" s="59"/>
      <x:c r="HG44" s="59"/>
      <x:c r="HH44" s="59"/>
      <x:c r="HI44" s="59"/>
      <x:c r="HJ44" s="59"/>
      <x:c r="HK44" s="59"/>
      <x:c r="HL44" s="59"/>
      <x:c r="HM44" s="59"/>
      <x:c r="HN44" s="59"/>
      <x:c r="HO44" s="59"/>
      <x:c r="HP44" s="59"/>
      <x:c r="HQ44" s="59"/>
      <x:c r="HR44" s="59"/>
      <x:c r="HS44" s="59"/>
      <x:c r="HT44" s="59"/>
      <x:c r="HU44" s="59"/>
      <x:c r="HV44" s="59"/>
      <x:c r="HW44" s="59"/>
      <x:c r="HX44" s="59"/>
      <x:c r="HY44" s="59"/>
      <x:c r="HZ44" s="59"/>
      <x:c r="IA44" s="59"/>
      <x:c r="IB44" s="59"/>
      <x:c r="IC44" s="59"/>
      <x:c r="ID44" s="59"/>
      <x:c r="IE44" s="59"/>
      <x:c r="IF44" s="59"/>
      <x:c r="IG44" s="59"/>
      <x:c r="IH44" s="59"/>
      <x:c r="II44" s="59"/>
      <x:c r="IJ44" s="59"/>
      <x:c r="IK44" s="59"/>
      <x:c r="IL44" s="59"/>
      <x:c r="IM44" s="59"/>
      <x:c r="IN44" s="59"/>
      <x:c r="IO44" s="59"/>
      <x:c r="IP44" s="59"/>
      <x:c r="IQ44" s="59"/>
      <x:c r="IR44" s="59"/>
      <x:c r="IS44" s="59"/>
      <x:c r="IT44" s="59"/>
      <x:c r="IU44" s="59"/>
      <x:c r="IV44" s="59"/>
      <x:c r="IW44" s="59"/>
      <x:c r="IX44" s="59"/>
      <x:c r="IY44" s="59"/>
      <x:c r="IZ44" s="59"/>
      <x:c r="JA44" s="59"/>
      <x:c r="JB44" s="59"/>
      <x:c r="JC44" s="59"/>
      <x:c r="JD44" s="59"/>
      <x:c r="JE44" s="59"/>
      <x:c r="JF44" s="59"/>
      <x:c r="JG44" s="59"/>
      <x:c r="JH44" s="59"/>
      <x:c r="JI44" s="59"/>
      <x:c r="JJ44" s="59"/>
      <x:c r="JK44" s="59"/>
      <x:c r="JL44" s="59"/>
      <x:c r="JM44" s="59"/>
      <x:c r="JN44" s="59"/>
      <x:c r="JO44" s="59"/>
      <x:c r="JP44" s="59"/>
      <x:c r="JQ44" s="59"/>
      <x:c r="JR44" s="59"/>
      <x:c r="JS44" s="59"/>
      <x:c r="JT44" s="59"/>
      <x:c r="JU44" s="59"/>
      <x:c r="JV44" s="59"/>
      <x:c r="JW44" s="59"/>
      <x:c r="JX44" s="59"/>
      <x:c r="JY44" s="59"/>
      <x:c r="JZ44" s="59"/>
      <x:c r="KA44" s="59"/>
      <x:c r="KB44" s="59"/>
      <x:c r="KC44" s="59"/>
      <x:c r="KD44" s="59"/>
      <x:c r="KE44" s="59"/>
      <x:c r="KF44" s="59"/>
      <x:c r="KG44" s="59"/>
      <x:c r="KH44" s="59"/>
      <x:c r="KI44" s="59"/>
      <x:c r="KJ44" s="59"/>
      <x:c r="KK44" s="59"/>
      <x:c r="KL44" s="59"/>
      <x:c r="KM44" s="59"/>
      <x:c r="KN44" s="59"/>
      <x:c r="KO44" s="59"/>
      <x:c r="KP44" s="59"/>
      <x:c r="KQ44" s="59"/>
      <x:c r="KR44" s="59"/>
      <x:c r="KS44" s="59"/>
      <x:c r="KT44" s="59"/>
      <x:c r="KU44" s="59"/>
      <x:c r="KV44" s="59"/>
      <x:c r="KW44" s="59"/>
      <x:c r="KX44" s="59"/>
      <x:c r="KY44" s="59"/>
      <x:c r="KZ44" s="59"/>
      <x:c r="LA44" s="59"/>
      <x:c r="LB44" s="59"/>
      <x:c r="LC44" s="59"/>
      <x:c r="LD44" s="59"/>
      <x:c r="LE44" s="59"/>
      <x:c r="LF44" s="59"/>
      <x:c r="LG44" s="59"/>
      <x:c r="LH44" s="59"/>
      <x:c r="LI44" s="59"/>
      <x:c r="LJ44" s="59"/>
      <x:c r="LK44" s="59"/>
      <x:c r="LL44" s="59"/>
      <x:c r="LM44" s="59"/>
      <x:c r="LN44" s="59"/>
      <x:c r="LO44" s="59"/>
      <x:c r="LP44" s="59"/>
      <x:c r="LQ44" s="59"/>
      <x:c r="LR44" s="59"/>
      <x:c r="LS44" s="59"/>
      <x:c r="LT44" s="59"/>
      <x:c r="LU44" s="59"/>
      <x:c r="LV44" s="59"/>
      <x:c r="LW44" s="59"/>
      <x:c r="LX44" s="59"/>
      <x:c r="LY44" s="59"/>
      <x:c r="LZ44" s="59"/>
      <x:c r="MA44" s="59"/>
      <x:c r="MB44" s="59"/>
      <x:c r="MC44" s="59"/>
      <x:c r="MD44" s="59"/>
      <x:c r="ME44" s="59"/>
      <x:c r="MF44" s="59"/>
      <x:c r="MG44" s="59"/>
      <x:c r="MH44" s="59"/>
      <x:c r="MI44" s="59"/>
      <x:c r="MJ44" s="59"/>
      <x:c r="MK44" s="59"/>
      <x:c r="ML44" s="59"/>
      <x:c r="MM44" s="59"/>
      <x:c r="MN44" s="59"/>
      <x:c r="MO44" s="59"/>
      <x:c r="MP44" s="59"/>
      <x:c r="MQ44" s="59"/>
      <x:c r="MR44" s="59"/>
      <x:c r="MS44" s="59"/>
      <x:c r="MT44" s="59"/>
      <x:c r="MU44" s="59"/>
      <x:c r="MV44" s="59"/>
      <x:c r="MW44" s="59"/>
      <x:c r="MX44" s="59"/>
      <x:c r="MY44" s="59"/>
      <x:c r="MZ44" s="59"/>
      <x:c r="NA44" s="59"/>
      <x:c r="NB44" s="59"/>
      <x:c r="NC44" s="59"/>
      <x:c r="ND44" s="59"/>
      <x:c r="NE44" s="59"/>
      <x:c r="NF44" s="59"/>
      <x:c r="NG44" s="59"/>
      <x:c r="NH44" s="59"/>
      <x:c r="NI44" s="59"/>
      <x:c r="NJ44" s="59"/>
      <x:c r="NK44" s="59"/>
      <x:c r="NL44" s="59"/>
      <x:c r="NM44" s="59"/>
      <x:c r="NN44" s="59"/>
      <x:c r="NO44" s="59"/>
      <x:c r="NP44" s="59"/>
      <x:c r="NQ44" s="59"/>
      <x:c r="NR44" s="59"/>
      <x:c r="NS44" s="59"/>
      <x:c r="NT44" s="59"/>
      <x:c r="NU44" s="59"/>
      <x:c r="NV44" s="59"/>
      <x:c r="NW44" s="59"/>
      <x:c r="NX44" s="59"/>
      <x:c r="NY44" s="59"/>
      <x:c r="NZ44" s="59"/>
      <x:c r="OA44" s="59"/>
      <x:c r="OB44" s="59"/>
      <x:c r="OC44" s="59"/>
      <x:c r="OD44" s="59"/>
      <x:c r="OE44" s="59"/>
      <x:c r="OF44" s="59"/>
      <x:c r="OG44" s="59"/>
      <x:c r="OH44" s="59"/>
      <x:c r="OI44" s="59"/>
      <x:c r="OJ44" s="59"/>
      <x:c r="OK44" s="59"/>
      <x:c r="OL44" s="59"/>
      <x:c r="OM44" s="59"/>
      <x:c r="ON44" s="59"/>
      <x:c r="OO44" s="59"/>
      <x:c r="OP44" s="59"/>
      <x:c r="OQ44" s="59"/>
      <x:c r="OR44" s="59"/>
      <x:c r="OS44" s="59"/>
      <x:c r="OT44" s="59"/>
      <x:c r="OU44" s="59"/>
      <x:c r="OV44" s="59"/>
      <x:c r="OW44" s="59"/>
      <x:c r="OX44" s="59"/>
      <x:c r="OY44" s="59"/>
      <x:c r="OZ44" s="59"/>
      <x:c r="PA44" s="59"/>
      <x:c r="PB44" s="59"/>
      <x:c r="PC44" s="59"/>
      <x:c r="PD44" s="59"/>
      <x:c r="PE44" s="59"/>
      <x:c r="PF44" s="59"/>
      <x:c r="PG44" s="59"/>
      <x:c r="PH44" s="59"/>
      <x:c r="PI44" s="59"/>
      <x:c r="PJ44" s="59"/>
      <x:c r="PK44" s="59"/>
      <x:c r="PL44" s="59"/>
      <x:c r="PM44" s="59"/>
      <x:c r="PN44" s="59"/>
      <x:c r="PO44" s="59"/>
      <x:c r="PP44" s="59"/>
      <x:c r="PQ44" s="59"/>
      <x:c r="PR44" s="59"/>
      <x:c r="PS44" s="59"/>
      <x:c r="PT44" s="59"/>
      <x:c r="PU44" s="59"/>
      <x:c r="PV44" s="59"/>
      <x:c r="PW44" s="59"/>
      <x:c r="PX44" s="59"/>
      <x:c r="PY44" s="59"/>
      <x:c r="PZ44" s="59"/>
      <x:c r="QA44" s="59"/>
      <x:c r="QB44" s="59"/>
      <x:c r="QC44" s="59"/>
      <x:c r="QD44" s="59"/>
      <x:c r="QE44" s="59"/>
      <x:c r="QF44" s="59"/>
      <x:c r="QG44" s="59"/>
      <x:c r="QH44" s="59"/>
      <x:c r="QI44" s="59"/>
      <x:c r="QJ44" s="59"/>
      <x:c r="QK44" s="59"/>
      <x:c r="QL44" s="59"/>
      <x:c r="QM44" s="59"/>
      <x:c r="QN44" s="59"/>
      <x:c r="QO44" s="59"/>
      <x:c r="QP44" s="59"/>
      <x:c r="QQ44" s="59"/>
      <x:c r="QR44" s="59"/>
      <x:c r="QS44" s="59"/>
      <x:c r="QT44" s="59"/>
      <x:c r="QU44" s="59"/>
      <x:c r="QV44" s="59"/>
      <x:c r="QW44" s="59"/>
      <x:c r="QX44" s="59"/>
      <x:c r="QY44" s="59"/>
      <x:c r="QZ44" s="59"/>
      <x:c r="RA44" s="59"/>
      <x:c r="RB44" s="59"/>
      <x:c r="RC44" s="59"/>
      <x:c r="RD44" s="59"/>
      <x:c r="RE44" s="59"/>
      <x:c r="RF44" s="59"/>
      <x:c r="RG44" s="59"/>
      <x:c r="RH44" s="59"/>
      <x:c r="RI44" s="59"/>
      <x:c r="RJ44" s="59"/>
      <x:c r="RK44" s="59"/>
      <x:c r="RL44" s="59"/>
      <x:c r="RM44" s="59"/>
      <x:c r="RN44" s="59"/>
      <x:c r="RO44" s="59"/>
      <x:c r="RP44" s="59"/>
      <x:c r="RQ44" s="59"/>
      <x:c r="RR44" s="59"/>
      <x:c r="RS44" s="59"/>
      <x:c r="RT44" s="59"/>
      <x:c r="RU44" s="59"/>
      <x:c r="RV44" s="59"/>
      <x:c r="RW44" s="59"/>
      <x:c r="RX44" s="59"/>
      <x:c r="RY44" s="59"/>
      <x:c r="RZ44" s="59"/>
      <x:c r="SA44" s="59"/>
      <x:c r="SB44" s="59"/>
      <x:c r="SC44" s="59"/>
      <x:c r="SD44" s="59"/>
      <x:c r="SE44" s="59"/>
      <x:c r="SF44" s="59"/>
    </x:row>
    <x:row r="45">
      <x:c r="A45" s="61" t="str">
        <x:v>Current 12-Month Production</x:v>
      </x:c>
      <x:c r="B45" s="66" t="s">
        <x:v>98</x:v>
      </x:c>
      <x:c r="C45" s="66"/>
      <x:c r="D45" s="63" t="str">
        <x:v>Current 12-month production total</x:v>
      </x:c>
      <x:c r="E45" s="63"/>
      <x:c r="F45" s="63"/>
      <x:c r="G45" s="63" t="s">
        <x:v>99</x:v>
      </x:c>
      <x:c r="H45" s="63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  <x:c r="AA45" s="59"/>
      <x:c r="AB45" s="59"/>
      <x:c r="AC45" s="59"/>
      <x:c r="AD45" s="59"/>
      <x:c r="AE45" s="59"/>
      <x:c r="AF45" s="59"/>
      <x:c r="AG45" s="59"/>
      <x:c r="AH45" s="59"/>
      <x:c r="AI45" s="59"/>
      <x:c r="AJ45" s="59"/>
      <x:c r="AK45" s="59"/>
      <x:c r="AL45" s="59"/>
      <x:c r="AM45" s="59"/>
      <x:c r="AN45" s="59"/>
      <x:c r="AO45" s="59"/>
      <x:c r="AP45" s="59"/>
      <x:c r="AQ45" s="59"/>
      <x:c r="AR45" s="59"/>
      <x:c r="AS45" s="59"/>
      <x:c r="AT45" s="59"/>
      <x:c r="AU45" s="59"/>
      <x:c r="AV45" s="59"/>
      <x:c r="AW45" s="59"/>
      <x:c r="AX45" s="59"/>
      <x:c r="AY45" s="59"/>
      <x:c r="AZ45" s="59"/>
      <x:c r="BA45" s="59"/>
      <x:c r="BB45" s="59"/>
      <x:c r="BC45" s="59"/>
      <x:c r="BD45" s="59"/>
      <x:c r="BE45" s="59"/>
      <x:c r="BF45" s="59"/>
      <x:c r="BG45" s="59"/>
      <x:c r="BH45" s="59"/>
      <x:c r="BI45" s="59"/>
      <x:c r="BJ45" s="59"/>
      <x:c r="BK45" s="59"/>
      <x:c r="BL45" s="59"/>
      <x:c r="BM45" s="59"/>
      <x:c r="BN45" s="59"/>
      <x:c r="BO45" s="59"/>
      <x:c r="BP45" s="59"/>
      <x:c r="BQ45" s="59"/>
      <x:c r="BR45" s="59"/>
      <x:c r="BS45" s="59"/>
      <x:c r="BT45" s="59"/>
      <x:c r="BU45" s="59"/>
      <x:c r="BV45" s="59"/>
      <x:c r="BW45" s="59"/>
      <x:c r="BX45" s="59"/>
      <x:c r="BY45" s="59"/>
      <x:c r="BZ45" s="59"/>
      <x:c r="CA45" s="59"/>
      <x:c r="CB45" s="59"/>
      <x:c r="CC45" s="59"/>
      <x:c r="CD45" s="59"/>
      <x:c r="CE45" s="59"/>
      <x:c r="CF45" s="59"/>
      <x:c r="CG45" s="59"/>
      <x:c r="CH45" s="59"/>
      <x:c r="CI45" s="59"/>
      <x:c r="CJ45" s="59"/>
      <x:c r="CK45" s="59"/>
      <x:c r="CL45" s="59"/>
      <x:c r="CM45" s="59"/>
      <x:c r="CN45" s="59"/>
      <x:c r="CO45" s="59"/>
      <x:c r="CP45" s="59"/>
      <x:c r="CQ45" s="59"/>
      <x:c r="CR45" s="59"/>
      <x:c r="CS45" s="59"/>
      <x:c r="CT45" s="59"/>
      <x:c r="CU45" s="59"/>
      <x:c r="CV45" s="59"/>
      <x:c r="CW45" s="59"/>
      <x:c r="CX45" s="59"/>
      <x:c r="CY45" s="59"/>
      <x:c r="CZ45" s="59"/>
      <x:c r="DA45" s="59"/>
      <x:c r="DB45" s="59"/>
      <x:c r="DC45" s="59"/>
      <x:c r="DD45" s="59"/>
      <x:c r="DE45" s="59"/>
      <x:c r="DF45" s="59"/>
      <x:c r="DG45" s="59"/>
      <x:c r="DH45" s="59"/>
      <x:c r="DI45" s="59"/>
      <x:c r="DJ45" s="59"/>
      <x:c r="DK45" s="59"/>
      <x:c r="DL45" s="59"/>
      <x:c r="DM45" s="59"/>
      <x:c r="DN45" s="59"/>
      <x:c r="DO45" s="59"/>
      <x:c r="DP45" s="59"/>
      <x:c r="DQ45" s="59"/>
      <x:c r="DR45" s="59"/>
      <x:c r="DS45" s="59"/>
      <x:c r="DT45" s="59"/>
      <x:c r="DU45" s="59"/>
      <x:c r="DV45" s="59"/>
      <x:c r="DW45" s="59"/>
      <x:c r="DX45" s="59"/>
      <x:c r="DY45" s="59"/>
      <x:c r="DZ45" s="59"/>
      <x:c r="EA45" s="59"/>
      <x:c r="EB45" s="59"/>
      <x:c r="EC45" s="59"/>
      <x:c r="ED45" s="59"/>
      <x:c r="EE45" s="59"/>
      <x:c r="EF45" s="59"/>
      <x:c r="EG45" s="59"/>
      <x:c r="EH45" s="59"/>
      <x:c r="EI45" s="59"/>
      <x:c r="EJ45" s="59"/>
      <x:c r="EK45" s="59"/>
      <x:c r="EL45" s="59"/>
      <x:c r="EM45" s="59"/>
      <x:c r="EN45" s="59"/>
      <x:c r="EO45" s="59"/>
      <x:c r="EP45" s="59"/>
      <x:c r="EQ45" s="59"/>
      <x:c r="ER45" s="59"/>
      <x:c r="ES45" s="59"/>
      <x:c r="ET45" s="59"/>
      <x:c r="EU45" s="59"/>
      <x:c r="EV45" s="59"/>
      <x:c r="EW45" s="59"/>
      <x:c r="EX45" s="59"/>
      <x:c r="EY45" s="59"/>
      <x:c r="EZ45" s="59"/>
      <x:c r="FA45" s="59"/>
      <x:c r="FB45" s="59"/>
      <x:c r="FC45" s="59"/>
      <x:c r="FD45" s="59"/>
      <x:c r="FE45" s="59"/>
      <x:c r="FF45" s="59"/>
      <x:c r="FG45" s="59"/>
      <x:c r="FH45" s="59"/>
      <x:c r="FI45" s="59"/>
      <x:c r="FJ45" s="59"/>
      <x:c r="FK45" s="59"/>
      <x:c r="FL45" s="59"/>
      <x:c r="FM45" s="59"/>
      <x:c r="FN45" s="59"/>
      <x:c r="FO45" s="59"/>
      <x:c r="FP45" s="59"/>
      <x:c r="FQ45" s="59"/>
      <x:c r="FR45" s="59"/>
      <x:c r="FS45" s="59"/>
      <x:c r="FT45" s="59"/>
      <x:c r="FU45" s="59"/>
      <x:c r="FV45" s="59"/>
      <x:c r="FW45" s="59"/>
      <x:c r="FX45" s="59"/>
      <x:c r="FY45" s="59"/>
      <x:c r="FZ45" s="59"/>
      <x:c r="GA45" s="59"/>
      <x:c r="GB45" s="59"/>
      <x:c r="GC45" s="59"/>
      <x:c r="GD45" s="59"/>
      <x:c r="GE45" s="59"/>
      <x:c r="GF45" s="59"/>
      <x:c r="GG45" s="59"/>
      <x:c r="GH45" s="59"/>
      <x:c r="GI45" s="59"/>
      <x:c r="GJ45" s="59"/>
      <x:c r="GK45" s="59"/>
      <x:c r="GL45" s="59"/>
      <x:c r="GM45" s="59"/>
      <x:c r="GN45" s="59"/>
      <x:c r="GO45" s="59"/>
      <x:c r="GP45" s="59"/>
      <x:c r="GQ45" s="59"/>
      <x:c r="GR45" s="59"/>
      <x:c r="GS45" s="59"/>
      <x:c r="GT45" s="59"/>
      <x:c r="GU45" s="59"/>
      <x:c r="GV45" s="59"/>
      <x:c r="GW45" s="59"/>
      <x:c r="GX45" s="59"/>
      <x:c r="GY45" s="59"/>
      <x:c r="GZ45" s="59"/>
      <x:c r="HA45" s="59"/>
      <x:c r="HB45" s="59"/>
      <x:c r="HC45" s="59"/>
      <x:c r="HD45" s="59"/>
      <x:c r="HE45" s="59"/>
      <x:c r="HF45" s="59"/>
      <x:c r="HG45" s="59"/>
      <x:c r="HH45" s="59"/>
      <x:c r="HI45" s="59"/>
      <x:c r="HJ45" s="59"/>
      <x:c r="HK45" s="59"/>
      <x:c r="HL45" s="59"/>
      <x:c r="HM45" s="59"/>
      <x:c r="HN45" s="59"/>
      <x:c r="HO45" s="59"/>
      <x:c r="HP45" s="59"/>
      <x:c r="HQ45" s="59"/>
      <x:c r="HR45" s="59"/>
      <x:c r="HS45" s="59"/>
      <x:c r="HT45" s="59"/>
      <x:c r="HU45" s="59"/>
      <x:c r="HV45" s="59"/>
      <x:c r="HW45" s="59"/>
      <x:c r="HX45" s="59"/>
      <x:c r="HY45" s="59"/>
      <x:c r="HZ45" s="59"/>
      <x:c r="IA45" s="59"/>
      <x:c r="IB45" s="59"/>
      <x:c r="IC45" s="59"/>
      <x:c r="ID45" s="59"/>
      <x:c r="IE45" s="59"/>
      <x:c r="IF45" s="59"/>
      <x:c r="IG45" s="59"/>
      <x:c r="IH45" s="59"/>
      <x:c r="II45" s="59"/>
      <x:c r="IJ45" s="59"/>
      <x:c r="IK45" s="59"/>
      <x:c r="IL45" s="59"/>
      <x:c r="IM45" s="59"/>
      <x:c r="IN45" s="59"/>
      <x:c r="IO45" s="59"/>
      <x:c r="IP45" s="59"/>
      <x:c r="IQ45" s="59"/>
      <x:c r="IR45" s="59"/>
      <x:c r="IS45" s="59"/>
      <x:c r="IT45" s="59"/>
      <x:c r="IU45" s="59"/>
      <x:c r="IV45" s="59"/>
      <x:c r="IW45" s="59"/>
      <x:c r="IX45" s="59"/>
      <x:c r="IY45" s="59"/>
      <x:c r="IZ45" s="59"/>
      <x:c r="JA45" s="59"/>
      <x:c r="JB45" s="59"/>
      <x:c r="JC45" s="59"/>
      <x:c r="JD45" s="59"/>
      <x:c r="JE45" s="59"/>
      <x:c r="JF45" s="59"/>
      <x:c r="JG45" s="59"/>
      <x:c r="JH45" s="59"/>
      <x:c r="JI45" s="59"/>
      <x:c r="JJ45" s="59"/>
      <x:c r="JK45" s="59"/>
      <x:c r="JL45" s="59"/>
      <x:c r="JM45" s="59"/>
      <x:c r="JN45" s="59"/>
      <x:c r="JO45" s="59"/>
      <x:c r="JP45" s="59"/>
      <x:c r="JQ45" s="59"/>
      <x:c r="JR45" s="59"/>
      <x:c r="JS45" s="59"/>
      <x:c r="JT45" s="59"/>
      <x:c r="JU45" s="59"/>
      <x:c r="JV45" s="59"/>
      <x:c r="JW45" s="59"/>
      <x:c r="JX45" s="59"/>
      <x:c r="JY45" s="59"/>
      <x:c r="JZ45" s="59"/>
      <x:c r="KA45" s="59"/>
      <x:c r="KB45" s="59"/>
      <x:c r="KC45" s="59"/>
      <x:c r="KD45" s="59"/>
      <x:c r="KE45" s="59"/>
      <x:c r="KF45" s="59"/>
      <x:c r="KG45" s="59"/>
      <x:c r="KH45" s="59"/>
      <x:c r="KI45" s="59"/>
      <x:c r="KJ45" s="59"/>
      <x:c r="KK45" s="59"/>
      <x:c r="KL45" s="59"/>
      <x:c r="KM45" s="59"/>
      <x:c r="KN45" s="59"/>
      <x:c r="KO45" s="59"/>
      <x:c r="KP45" s="59"/>
      <x:c r="KQ45" s="59"/>
      <x:c r="KR45" s="59"/>
      <x:c r="KS45" s="59"/>
      <x:c r="KT45" s="59"/>
      <x:c r="KU45" s="59"/>
      <x:c r="KV45" s="59"/>
      <x:c r="KW45" s="59"/>
      <x:c r="KX45" s="59"/>
      <x:c r="KY45" s="59"/>
      <x:c r="KZ45" s="59"/>
      <x:c r="LA45" s="59"/>
      <x:c r="LB45" s="59"/>
      <x:c r="LC45" s="59"/>
      <x:c r="LD45" s="59"/>
      <x:c r="LE45" s="59"/>
      <x:c r="LF45" s="59"/>
      <x:c r="LG45" s="59"/>
      <x:c r="LH45" s="59"/>
      <x:c r="LI45" s="59"/>
      <x:c r="LJ45" s="59"/>
      <x:c r="LK45" s="59"/>
      <x:c r="LL45" s="59"/>
      <x:c r="LM45" s="59"/>
      <x:c r="LN45" s="59"/>
      <x:c r="LO45" s="59"/>
      <x:c r="LP45" s="59"/>
      <x:c r="LQ45" s="59"/>
      <x:c r="LR45" s="59"/>
      <x:c r="LS45" s="59"/>
      <x:c r="LT45" s="59"/>
      <x:c r="LU45" s="59"/>
      <x:c r="LV45" s="59"/>
      <x:c r="LW45" s="59"/>
      <x:c r="LX45" s="59"/>
      <x:c r="LY45" s="59"/>
      <x:c r="LZ45" s="59"/>
      <x:c r="MA45" s="59"/>
      <x:c r="MB45" s="59"/>
      <x:c r="MC45" s="59"/>
      <x:c r="MD45" s="59"/>
      <x:c r="ME45" s="59"/>
      <x:c r="MF45" s="59"/>
      <x:c r="MG45" s="59"/>
      <x:c r="MH45" s="59"/>
      <x:c r="MI45" s="59"/>
      <x:c r="MJ45" s="59"/>
      <x:c r="MK45" s="59"/>
      <x:c r="ML45" s="59"/>
      <x:c r="MM45" s="59"/>
      <x:c r="MN45" s="59"/>
      <x:c r="MO45" s="59"/>
      <x:c r="MP45" s="59"/>
      <x:c r="MQ45" s="59"/>
      <x:c r="MR45" s="59"/>
      <x:c r="MS45" s="59"/>
      <x:c r="MT45" s="59"/>
      <x:c r="MU45" s="59"/>
      <x:c r="MV45" s="59"/>
      <x:c r="MW45" s="59"/>
      <x:c r="MX45" s="59"/>
      <x:c r="MY45" s="59"/>
      <x:c r="MZ45" s="59"/>
      <x:c r="NA45" s="59"/>
      <x:c r="NB45" s="59"/>
      <x:c r="NC45" s="59"/>
      <x:c r="ND45" s="59"/>
      <x:c r="NE45" s="59"/>
      <x:c r="NF45" s="59"/>
      <x:c r="NG45" s="59"/>
      <x:c r="NH45" s="59"/>
      <x:c r="NI45" s="59"/>
      <x:c r="NJ45" s="59"/>
      <x:c r="NK45" s="59"/>
      <x:c r="NL45" s="59"/>
      <x:c r="NM45" s="59"/>
      <x:c r="NN45" s="59"/>
      <x:c r="NO45" s="59"/>
      <x:c r="NP45" s="59"/>
      <x:c r="NQ45" s="59"/>
      <x:c r="NR45" s="59"/>
      <x:c r="NS45" s="59"/>
      <x:c r="NT45" s="59"/>
      <x:c r="NU45" s="59"/>
      <x:c r="NV45" s="59"/>
      <x:c r="NW45" s="59"/>
      <x:c r="NX45" s="59"/>
      <x:c r="NY45" s="59"/>
      <x:c r="NZ45" s="59"/>
      <x:c r="OA45" s="59"/>
      <x:c r="OB45" s="59"/>
      <x:c r="OC45" s="59"/>
      <x:c r="OD45" s="59"/>
      <x:c r="OE45" s="59"/>
      <x:c r="OF45" s="59"/>
      <x:c r="OG45" s="59"/>
      <x:c r="OH45" s="59"/>
      <x:c r="OI45" s="59"/>
      <x:c r="OJ45" s="59"/>
      <x:c r="OK45" s="59"/>
      <x:c r="OL45" s="59"/>
      <x:c r="OM45" s="59"/>
      <x:c r="ON45" s="59"/>
      <x:c r="OO45" s="59"/>
      <x:c r="OP45" s="59"/>
      <x:c r="OQ45" s="59"/>
      <x:c r="OR45" s="59"/>
      <x:c r="OS45" s="59"/>
      <x:c r="OT45" s="59"/>
      <x:c r="OU45" s="59"/>
      <x:c r="OV45" s="59"/>
      <x:c r="OW45" s="59"/>
      <x:c r="OX45" s="59"/>
      <x:c r="OY45" s="59"/>
      <x:c r="OZ45" s="59"/>
      <x:c r="PA45" s="59"/>
      <x:c r="PB45" s="59"/>
      <x:c r="PC45" s="59"/>
      <x:c r="PD45" s="59"/>
      <x:c r="PE45" s="59"/>
      <x:c r="PF45" s="59"/>
      <x:c r="PG45" s="59"/>
      <x:c r="PH45" s="59"/>
      <x:c r="PI45" s="59"/>
      <x:c r="PJ45" s="59"/>
      <x:c r="PK45" s="59"/>
      <x:c r="PL45" s="59"/>
      <x:c r="PM45" s="59"/>
      <x:c r="PN45" s="59"/>
      <x:c r="PO45" s="59"/>
      <x:c r="PP45" s="59"/>
      <x:c r="PQ45" s="59"/>
      <x:c r="PR45" s="59"/>
      <x:c r="PS45" s="59"/>
      <x:c r="PT45" s="59"/>
      <x:c r="PU45" s="59"/>
      <x:c r="PV45" s="59"/>
      <x:c r="PW45" s="59"/>
      <x:c r="PX45" s="59"/>
      <x:c r="PY45" s="59"/>
      <x:c r="PZ45" s="59"/>
      <x:c r="QA45" s="59"/>
      <x:c r="QB45" s="59"/>
      <x:c r="QC45" s="59"/>
      <x:c r="QD45" s="59"/>
      <x:c r="QE45" s="59"/>
      <x:c r="QF45" s="59"/>
      <x:c r="QG45" s="59"/>
      <x:c r="QH45" s="59"/>
      <x:c r="QI45" s="59"/>
      <x:c r="QJ45" s="59"/>
      <x:c r="QK45" s="59"/>
      <x:c r="QL45" s="59"/>
      <x:c r="QM45" s="59"/>
      <x:c r="QN45" s="59"/>
      <x:c r="QO45" s="59"/>
      <x:c r="QP45" s="59"/>
      <x:c r="QQ45" s="59"/>
      <x:c r="QR45" s="59"/>
      <x:c r="QS45" s="59"/>
      <x:c r="QT45" s="59"/>
      <x:c r="QU45" s="59"/>
      <x:c r="QV45" s="59"/>
      <x:c r="QW45" s="59"/>
      <x:c r="QX45" s="59"/>
      <x:c r="QY45" s="59"/>
      <x:c r="QZ45" s="59"/>
      <x:c r="RA45" s="59"/>
      <x:c r="RB45" s="59"/>
      <x:c r="RC45" s="59"/>
      <x:c r="RD45" s="59"/>
      <x:c r="RE45" s="59"/>
      <x:c r="RF45" s="59"/>
      <x:c r="RG45" s="59"/>
      <x:c r="RH45" s="59"/>
      <x:c r="RI45" s="59"/>
      <x:c r="RJ45" s="59"/>
      <x:c r="RK45" s="59"/>
      <x:c r="RL45" s="59"/>
      <x:c r="RM45" s="59"/>
      <x:c r="RN45" s="59"/>
      <x:c r="RO45" s="59"/>
      <x:c r="RP45" s="59"/>
      <x:c r="RQ45" s="59"/>
      <x:c r="RR45" s="59"/>
      <x:c r="RS45" s="59"/>
      <x:c r="RT45" s="59"/>
      <x:c r="RU45" s="59"/>
      <x:c r="RV45" s="59"/>
      <x:c r="RW45" s="59"/>
      <x:c r="RX45" s="59"/>
      <x:c r="RY45" s="59"/>
      <x:c r="RZ45" s="59"/>
      <x:c r="SA45" s="59"/>
      <x:c r="SB45" s="59"/>
      <x:c r="SC45" s="59"/>
      <x:c r="SD45" s="59"/>
      <x:c r="SE45" s="59"/>
      <x:c r="SF45" s="59"/>
    </x:row>
    <x:row r="46" ht="27" customHeight="1">
      <x:c r="A46" s="61" t="str">
        <x:v>12-Month Benchmark</x:v>
      </x:c>
      <x:c r="B46" s="66" t="s">
        <x:v>100</x:v>
      </x:c>
      <x:c r="C46" s="66"/>
      <x:c r="D46" s="63" t="str">
        <x:v>12-month production benchmark</x:v>
      </x:c>
      <x:c r="E46" s="63"/>
      <x:c r="F46" s="63"/>
      <x:c r="G46" s="63" t="s">
        <x:v>101</x:v>
      </x:c>
      <x:c r="H46" s="63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  <x:c r="AA46" s="59"/>
      <x:c r="AB46" s="59"/>
      <x:c r="AC46" s="59"/>
      <x:c r="AD46" s="59"/>
      <x:c r="AE46" s="59"/>
      <x:c r="AF46" s="59"/>
      <x:c r="AG46" s="59"/>
      <x:c r="AH46" s="59"/>
      <x:c r="AI46" s="59"/>
      <x:c r="AJ46" s="59"/>
      <x:c r="AK46" s="59"/>
      <x:c r="AL46" s="59"/>
      <x:c r="AM46" s="59"/>
      <x:c r="AN46" s="59"/>
      <x:c r="AO46" s="59"/>
      <x:c r="AP46" s="59"/>
      <x:c r="AQ46" s="59"/>
      <x:c r="AR46" s="59"/>
      <x:c r="AS46" s="59"/>
      <x:c r="AT46" s="59"/>
      <x:c r="AU46" s="59"/>
      <x:c r="AV46" s="59"/>
      <x:c r="AW46" s="59"/>
      <x:c r="AX46" s="59"/>
      <x:c r="AY46" s="59"/>
      <x:c r="AZ46" s="59"/>
      <x:c r="BA46" s="59"/>
      <x:c r="BB46" s="59"/>
      <x:c r="BC46" s="59"/>
      <x:c r="BD46" s="59"/>
      <x:c r="BE46" s="59"/>
      <x:c r="BF46" s="59"/>
      <x:c r="BG46" s="59"/>
      <x:c r="BH46" s="59"/>
      <x:c r="BI46" s="59"/>
      <x:c r="BJ46" s="59"/>
      <x:c r="BK46" s="59"/>
      <x:c r="BL46" s="59"/>
      <x:c r="BM46" s="59"/>
      <x:c r="BN46" s="59"/>
      <x:c r="BO46" s="59"/>
      <x:c r="BP46" s="59"/>
      <x:c r="BQ46" s="59"/>
      <x:c r="BR46" s="59"/>
      <x:c r="BS46" s="59"/>
      <x:c r="BT46" s="59"/>
      <x:c r="BU46" s="59"/>
      <x:c r="BV46" s="59"/>
      <x:c r="BW46" s="59"/>
      <x:c r="BX46" s="59"/>
      <x:c r="BY46" s="59"/>
      <x:c r="BZ46" s="59"/>
      <x:c r="CA46" s="59"/>
      <x:c r="CB46" s="59"/>
      <x:c r="CC46" s="59"/>
      <x:c r="CD46" s="59"/>
      <x:c r="CE46" s="59"/>
      <x:c r="CF46" s="59"/>
      <x:c r="CG46" s="59"/>
      <x:c r="CH46" s="59"/>
      <x:c r="CI46" s="59"/>
      <x:c r="CJ46" s="59"/>
      <x:c r="CK46" s="59"/>
      <x:c r="CL46" s="59"/>
      <x:c r="CM46" s="59"/>
      <x:c r="CN46" s="59"/>
      <x:c r="CO46" s="59"/>
      <x:c r="CP46" s="59"/>
      <x:c r="CQ46" s="59"/>
      <x:c r="CR46" s="59"/>
      <x:c r="CS46" s="59"/>
      <x:c r="CT46" s="59"/>
      <x:c r="CU46" s="59"/>
      <x:c r="CV46" s="59"/>
      <x:c r="CW46" s="59"/>
      <x:c r="CX46" s="59"/>
      <x:c r="CY46" s="59"/>
      <x:c r="CZ46" s="59"/>
      <x:c r="DA46" s="59"/>
      <x:c r="DB46" s="59"/>
      <x:c r="DC46" s="59"/>
      <x:c r="DD46" s="59"/>
      <x:c r="DE46" s="59"/>
      <x:c r="DF46" s="59"/>
      <x:c r="DG46" s="59"/>
      <x:c r="DH46" s="59"/>
      <x:c r="DI46" s="59"/>
      <x:c r="DJ46" s="59"/>
      <x:c r="DK46" s="59"/>
      <x:c r="DL46" s="59"/>
      <x:c r="DM46" s="59"/>
      <x:c r="DN46" s="59"/>
      <x:c r="DO46" s="59"/>
      <x:c r="DP46" s="59"/>
      <x:c r="DQ46" s="59"/>
      <x:c r="DR46" s="59"/>
      <x:c r="DS46" s="59"/>
      <x:c r="DT46" s="59"/>
      <x:c r="DU46" s="59"/>
      <x:c r="DV46" s="59"/>
      <x:c r="DW46" s="59"/>
      <x:c r="DX46" s="59"/>
      <x:c r="DY46" s="59"/>
      <x:c r="DZ46" s="59"/>
      <x:c r="EA46" s="59"/>
      <x:c r="EB46" s="59"/>
      <x:c r="EC46" s="59"/>
      <x:c r="ED46" s="59"/>
      <x:c r="EE46" s="59"/>
      <x:c r="EF46" s="59"/>
      <x:c r="EG46" s="59"/>
      <x:c r="EH46" s="59"/>
      <x:c r="EI46" s="59"/>
      <x:c r="EJ46" s="59"/>
      <x:c r="EK46" s="59"/>
      <x:c r="EL46" s="59"/>
      <x:c r="EM46" s="59"/>
      <x:c r="EN46" s="59"/>
      <x:c r="EO46" s="59"/>
      <x:c r="EP46" s="59"/>
      <x:c r="EQ46" s="59"/>
      <x:c r="ER46" s="59"/>
      <x:c r="ES46" s="59"/>
      <x:c r="ET46" s="59"/>
      <x:c r="EU46" s="59"/>
      <x:c r="EV46" s="59"/>
      <x:c r="EW46" s="59"/>
      <x:c r="EX46" s="59"/>
      <x:c r="EY46" s="59"/>
      <x:c r="EZ46" s="59"/>
      <x:c r="FA46" s="59"/>
      <x:c r="FB46" s="59"/>
      <x:c r="FC46" s="59"/>
      <x:c r="FD46" s="59"/>
      <x:c r="FE46" s="59"/>
      <x:c r="FF46" s="59"/>
      <x:c r="FG46" s="59"/>
      <x:c r="FH46" s="59"/>
      <x:c r="FI46" s="59"/>
      <x:c r="FJ46" s="59"/>
      <x:c r="FK46" s="59"/>
      <x:c r="FL46" s="59"/>
      <x:c r="FM46" s="59"/>
      <x:c r="FN46" s="59"/>
      <x:c r="FO46" s="59"/>
      <x:c r="FP46" s="59"/>
      <x:c r="FQ46" s="59"/>
      <x:c r="FR46" s="59"/>
      <x:c r="FS46" s="59"/>
      <x:c r="FT46" s="59"/>
      <x:c r="FU46" s="59"/>
      <x:c r="FV46" s="59"/>
      <x:c r="FW46" s="59"/>
      <x:c r="FX46" s="59"/>
      <x:c r="FY46" s="59"/>
      <x:c r="FZ46" s="59"/>
      <x:c r="GA46" s="59"/>
      <x:c r="GB46" s="59"/>
      <x:c r="GC46" s="59"/>
      <x:c r="GD46" s="59"/>
      <x:c r="GE46" s="59"/>
      <x:c r="GF46" s="59"/>
      <x:c r="GG46" s="59"/>
      <x:c r="GH46" s="59"/>
      <x:c r="GI46" s="59"/>
      <x:c r="GJ46" s="59"/>
      <x:c r="GK46" s="59"/>
      <x:c r="GL46" s="59"/>
      <x:c r="GM46" s="59"/>
      <x:c r="GN46" s="59"/>
      <x:c r="GO46" s="59"/>
      <x:c r="GP46" s="59"/>
      <x:c r="GQ46" s="59"/>
      <x:c r="GR46" s="59"/>
      <x:c r="GS46" s="59"/>
      <x:c r="GT46" s="59"/>
      <x:c r="GU46" s="59"/>
      <x:c r="GV46" s="59"/>
      <x:c r="GW46" s="59"/>
      <x:c r="GX46" s="59"/>
      <x:c r="GY46" s="59"/>
      <x:c r="GZ46" s="59"/>
      <x:c r="HA46" s="59"/>
      <x:c r="HB46" s="59"/>
      <x:c r="HC46" s="59"/>
      <x:c r="HD46" s="59"/>
      <x:c r="HE46" s="59"/>
      <x:c r="HF46" s="59"/>
      <x:c r="HG46" s="59"/>
      <x:c r="HH46" s="59"/>
      <x:c r="HI46" s="59"/>
      <x:c r="HJ46" s="59"/>
      <x:c r="HK46" s="59"/>
      <x:c r="HL46" s="59"/>
      <x:c r="HM46" s="59"/>
      <x:c r="HN46" s="59"/>
      <x:c r="HO46" s="59"/>
      <x:c r="HP46" s="59"/>
      <x:c r="HQ46" s="59"/>
      <x:c r="HR46" s="59"/>
      <x:c r="HS46" s="59"/>
      <x:c r="HT46" s="59"/>
      <x:c r="HU46" s="59"/>
      <x:c r="HV46" s="59"/>
      <x:c r="HW46" s="59"/>
      <x:c r="HX46" s="59"/>
      <x:c r="HY46" s="59"/>
      <x:c r="HZ46" s="59"/>
      <x:c r="IA46" s="59"/>
      <x:c r="IB46" s="59"/>
      <x:c r="IC46" s="59"/>
      <x:c r="ID46" s="59"/>
      <x:c r="IE46" s="59"/>
      <x:c r="IF46" s="59"/>
      <x:c r="IG46" s="59"/>
      <x:c r="IH46" s="59"/>
      <x:c r="II46" s="59"/>
      <x:c r="IJ46" s="59"/>
      <x:c r="IK46" s="59"/>
      <x:c r="IL46" s="59"/>
      <x:c r="IM46" s="59"/>
      <x:c r="IN46" s="59"/>
      <x:c r="IO46" s="59"/>
      <x:c r="IP46" s="59"/>
      <x:c r="IQ46" s="59"/>
      <x:c r="IR46" s="59"/>
      <x:c r="IS46" s="59"/>
      <x:c r="IT46" s="59"/>
      <x:c r="IU46" s="59"/>
      <x:c r="IV46" s="59"/>
      <x:c r="IW46" s="59"/>
      <x:c r="IX46" s="59"/>
      <x:c r="IY46" s="59"/>
      <x:c r="IZ46" s="59"/>
      <x:c r="JA46" s="59"/>
      <x:c r="JB46" s="59"/>
      <x:c r="JC46" s="59"/>
      <x:c r="JD46" s="59"/>
      <x:c r="JE46" s="59"/>
      <x:c r="JF46" s="59"/>
      <x:c r="JG46" s="59"/>
      <x:c r="JH46" s="59"/>
      <x:c r="JI46" s="59"/>
      <x:c r="JJ46" s="59"/>
      <x:c r="JK46" s="59"/>
      <x:c r="JL46" s="59"/>
      <x:c r="JM46" s="59"/>
      <x:c r="JN46" s="59"/>
      <x:c r="JO46" s="59"/>
      <x:c r="JP46" s="59"/>
      <x:c r="JQ46" s="59"/>
      <x:c r="JR46" s="59"/>
      <x:c r="JS46" s="59"/>
      <x:c r="JT46" s="59"/>
      <x:c r="JU46" s="59"/>
      <x:c r="JV46" s="59"/>
      <x:c r="JW46" s="59"/>
      <x:c r="JX46" s="59"/>
      <x:c r="JY46" s="59"/>
      <x:c r="JZ46" s="59"/>
      <x:c r="KA46" s="59"/>
      <x:c r="KB46" s="59"/>
      <x:c r="KC46" s="59"/>
      <x:c r="KD46" s="59"/>
      <x:c r="KE46" s="59"/>
      <x:c r="KF46" s="59"/>
      <x:c r="KG46" s="59"/>
      <x:c r="KH46" s="59"/>
      <x:c r="KI46" s="59"/>
      <x:c r="KJ46" s="59"/>
      <x:c r="KK46" s="59"/>
      <x:c r="KL46" s="59"/>
      <x:c r="KM46" s="59"/>
      <x:c r="KN46" s="59"/>
      <x:c r="KO46" s="59"/>
      <x:c r="KP46" s="59"/>
      <x:c r="KQ46" s="59"/>
      <x:c r="KR46" s="59"/>
      <x:c r="KS46" s="59"/>
      <x:c r="KT46" s="59"/>
      <x:c r="KU46" s="59"/>
      <x:c r="KV46" s="59"/>
      <x:c r="KW46" s="59"/>
      <x:c r="KX46" s="59"/>
      <x:c r="KY46" s="59"/>
      <x:c r="KZ46" s="59"/>
      <x:c r="LA46" s="59"/>
      <x:c r="LB46" s="59"/>
      <x:c r="LC46" s="59"/>
      <x:c r="LD46" s="59"/>
      <x:c r="LE46" s="59"/>
      <x:c r="LF46" s="59"/>
      <x:c r="LG46" s="59"/>
      <x:c r="LH46" s="59"/>
      <x:c r="LI46" s="59"/>
      <x:c r="LJ46" s="59"/>
      <x:c r="LK46" s="59"/>
      <x:c r="LL46" s="59"/>
      <x:c r="LM46" s="59"/>
      <x:c r="LN46" s="59"/>
      <x:c r="LO46" s="59"/>
      <x:c r="LP46" s="59"/>
      <x:c r="LQ46" s="59"/>
      <x:c r="LR46" s="59"/>
      <x:c r="LS46" s="59"/>
      <x:c r="LT46" s="59"/>
      <x:c r="LU46" s="59"/>
      <x:c r="LV46" s="59"/>
      <x:c r="LW46" s="59"/>
      <x:c r="LX46" s="59"/>
      <x:c r="LY46" s="59"/>
      <x:c r="LZ46" s="59"/>
      <x:c r="MA46" s="59"/>
      <x:c r="MB46" s="59"/>
      <x:c r="MC46" s="59"/>
      <x:c r="MD46" s="59"/>
      <x:c r="ME46" s="59"/>
      <x:c r="MF46" s="59"/>
      <x:c r="MG46" s="59"/>
      <x:c r="MH46" s="59"/>
      <x:c r="MI46" s="59"/>
      <x:c r="MJ46" s="59"/>
      <x:c r="MK46" s="59"/>
      <x:c r="ML46" s="59"/>
      <x:c r="MM46" s="59"/>
      <x:c r="MN46" s="59"/>
      <x:c r="MO46" s="59"/>
      <x:c r="MP46" s="59"/>
      <x:c r="MQ46" s="59"/>
      <x:c r="MR46" s="59"/>
      <x:c r="MS46" s="59"/>
      <x:c r="MT46" s="59"/>
      <x:c r="MU46" s="59"/>
      <x:c r="MV46" s="59"/>
      <x:c r="MW46" s="59"/>
      <x:c r="MX46" s="59"/>
      <x:c r="MY46" s="59"/>
      <x:c r="MZ46" s="59"/>
      <x:c r="NA46" s="59"/>
      <x:c r="NB46" s="59"/>
      <x:c r="NC46" s="59"/>
      <x:c r="ND46" s="59"/>
      <x:c r="NE46" s="59"/>
      <x:c r="NF46" s="59"/>
      <x:c r="NG46" s="59"/>
      <x:c r="NH46" s="59"/>
      <x:c r="NI46" s="59"/>
      <x:c r="NJ46" s="59"/>
      <x:c r="NK46" s="59"/>
      <x:c r="NL46" s="59"/>
      <x:c r="NM46" s="59"/>
      <x:c r="NN46" s="59"/>
      <x:c r="NO46" s="59"/>
      <x:c r="NP46" s="59"/>
      <x:c r="NQ46" s="59"/>
      <x:c r="NR46" s="59"/>
      <x:c r="NS46" s="59"/>
      <x:c r="NT46" s="59"/>
      <x:c r="NU46" s="59"/>
      <x:c r="NV46" s="59"/>
      <x:c r="NW46" s="59"/>
      <x:c r="NX46" s="59"/>
      <x:c r="NY46" s="59"/>
      <x:c r="NZ46" s="59"/>
      <x:c r="OA46" s="59"/>
      <x:c r="OB46" s="59"/>
      <x:c r="OC46" s="59"/>
      <x:c r="OD46" s="59"/>
      <x:c r="OE46" s="59"/>
      <x:c r="OF46" s="59"/>
      <x:c r="OG46" s="59"/>
      <x:c r="OH46" s="59"/>
      <x:c r="OI46" s="59"/>
      <x:c r="OJ46" s="59"/>
      <x:c r="OK46" s="59"/>
      <x:c r="OL46" s="59"/>
      <x:c r="OM46" s="59"/>
      <x:c r="ON46" s="59"/>
      <x:c r="OO46" s="59"/>
      <x:c r="OP46" s="59"/>
      <x:c r="OQ46" s="59"/>
      <x:c r="OR46" s="59"/>
      <x:c r="OS46" s="59"/>
      <x:c r="OT46" s="59"/>
      <x:c r="OU46" s="59"/>
      <x:c r="OV46" s="59"/>
      <x:c r="OW46" s="59"/>
      <x:c r="OX46" s="59"/>
      <x:c r="OY46" s="59"/>
      <x:c r="OZ46" s="59"/>
      <x:c r="PA46" s="59"/>
      <x:c r="PB46" s="59"/>
      <x:c r="PC46" s="59"/>
      <x:c r="PD46" s="59"/>
      <x:c r="PE46" s="59"/>
      <x:c r="PF46" s="59"/>
      <x:c r="PG46" s="59"/>
      <x:c r="PH46" s="59"/>
      <x:c r="PI46" s="59"/>
      <x:c r="PJ46" s="59"/>
      <x:c r="PK46" s="59"/>
      <x:c r="PL46" s="59"/>
      <x:c r="PM46" s="59"/>
      <x:c r="PN46" s="59"/>
      <x:c r="PO46" s="59"/>
      <x:c r="PP46" s="59"/>
      <x:c r="PQ46" s="59"/>
      <x:c r="PR46" s="59"/>
      <x:c r="PS46" s="59"/>
      <x:c r="PT46" s="59"/>
      <x:c r="PU46" s="59"/>
      <x:c r="PV46" s="59"/>
      <x:c r="PW46" s="59"/>
      <x:c r="PX46" s="59"/>
      <x:c r="PY46" s="59"/>
      <x:c r="PZ46" s="59"/>
      <x:c r="QA46" s="59"/>
      <x:c r="QB46" s="59"/>
      <x:c r="QC46" s="59"/>
      <x:c r="QD46" s="59"/>
      <x:c r="QE46" s="59"/>
      <x:c r="QF46" s="59"/>
      <x:c r="QG46" s="59"/>
      <x:c r="QH46" s="59"/>
      <x:c r="QI46" s="59"/>
      <x:c r="QJ46" s="59"/>
      <x:c r="QK46" s="59"/>
      <x:c r="QL46" s="59"/>
      <x:c r="QM46" s="59"/>
      <x:c r="QN46" s="59"/>
      <x:c r="QO46" s="59"/>
      <x:c r="QP46" s="59"/>
      <x:c r="QQ46" s="59"/>
      <x:c r="QR46" s="59"/>
      <x:c r="QS46" s="59"/>
      <x:c r="QT46" s="59"/>
      <x:c r="QU46" s="59"/>
      <x:c r="QV46" s="59"/>
      <x:c r="QW46" s="59"/>
      <x:c r="QX46" s="59"/>
      <x:c r="QY46" s="59"/>
      <x:c r="QZ46" s="59"/>
      <x:c r="RA46" s="59"/>
      <x:c r="RB46" s="59"/>
      <x:c r="RC46" s="59"/>
      <x:c r="RD46" s="59"/>
      <x:c r="RE46" s="59"/>
      <x:c r="RF46" s="59"/>
      <x:c r="RG46" s="59"/>
      <x:c r="RH46" s="59"/>
      <x:c r="RI46" s="59"/>
      <x:c r="RJ46" s="59"/>
      <x:c r="RK46" s="59"/>
      <x:c r="RL46" s="59"/>
      <x:c r="RM46" s="59"/>
      <x:c r="RN46" s="59"/>
      <x:c r="RO46" s="59"/>
      <x:c r="RP46" s="59"/>
      <x:c r="RQ46" s="59"/>
      <x:c r="RR46" s="59"/>
      <x:c r="RS46" s="59"/>
      <x:c r="RT46" s="59"/>
      <x:c r="RU46" s="59"/>
      <x:c r="RV46" s="59"/>
      <x:c r="RW46" s="59"/>
      <x:c r="RX46" s="59"/>
      <x:c r="RY46" s="59"/>
      <x:c r="RZ46" s="59"/>
      <x:c r="SA46" s="59"/>
      <x:c r="SB46" s="59"/>
      <x:c r="SC46" s="59"/>
      <x:c r="SD46" s="59"/>
      <x:c r="SE46" s="59"/>
      <x:c r="SF46" s="59"/>
    </x:row>
    <x:row r="47">
      <x:c r="A47" s="61" t="s">
        <x:v>102</x:v>
      </x:c>
      <x:c r="B47" s="66" t="s">
        <x:v>103</x:v>
      </x:c>
      <x:c r="C47" s="66"/>
      <x:c r="D47" s="63" t="s">
        <x:v>104</x:v>
      </x:c>
      <x:c r="E47" s="63"/>
      <x:c r="F47" s="63"/>
      <x:c r="G47" s="63" t="s">
        <x:v>105</x:v>
      </x:c>
      <x:c r="H47" s="63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  <x:c r="AA47" s="59"/>
      <x:c r="AB47" s="59"/>
      <x:c r="AC47" s="59"/>
      <x:c r="AD47" s="59"/>
      <x:c r="AE47" s="59"/>
      <x:c r="AF47" s="59"/>
      <x:c r="AG47" s="59"/>
      <x:c r="AH47" s="59"/>
      <x:c r="AI47" s="59"/>
      <x:c r="AJ47" s="59"/>
      <x:c r="AK47" s="59"/>
      <x:c r="AL47" s="59"/>
      <x:c r="AM47" s="59"/>
      <x:c r="AN47" s="59"/>
      <x:c r="AO47" s="59"/>
      <x:c r="AP47" s="59"/>
      <x:c r="AQ47" s="59"/>
      <x:c r="AR47" s="59"/>
      <x:c r="AS47" s="59"/>
      <x:c r="AT47" s="59"/>
      <x:c r="AU47" s="59"/>
      <x:c r="AV47" s="59"/>
      <x:c r="AW47" s="59"/>
      <x:c r="AX47" s="59"/>
      <x:c r="AY47" s="59"/>
      <x:c r="AZ47" s="59"/>
      <x:c r="BA47" s="59"/>
      <x:c r="BB47" s="59"/>
      <x:c r="BC47" s="59"/>
      <x:c r="BD47" s="59"/>
      <x:c r="BE47" s="59"/>
      <x:c r="BF47" s="59"/>
      <x:c r="BG47" s="59"/>
      <x:c r="BH47" s="59"/>
      <x:c r="BI47" s="59"/>
      <x:c r="BJ47" s="59"/>
      <x:c r="BK47" s="59"/>
      <x:c r="BL47" s="59"/>
      <x:c r="BM47" s="59"/>
      <x:c r="BN47" s="59"/>
      <x:c r="BO47" s="59"/>
      <x:c r="BP47" s="59"/>
      <x:c r="BQ47" s="59"/>
      <x:c r="BR47" s="59"/>
      <x:c r="BS47" s="59"/>
      <x:c r="BT47" s="59"/>
      <x:c r="BU47" s="59"/>
      <x:c r="BV47" s="59"/>
      <x:c r="BW47" s="59"/>
      <x:c r="BX47" s="59"/>
      <x:c r="BY47" s="59"/>
      <x:c r="BZ47" s="59"/>
      <x:c r="CA47" s="59"/>
      <x:c r="CB47" s="59"/>
      <x:c r="CC47" s="59"/>
      <x:c r="CD47" s="59"/>
      <x:c r="CE47" s="59"/>
      <x:c r="CF47" s="59"/>
      <x:c r="CG47" s="59"/>
      <x:c r="CH47" s="59"/>
      <x:c r="CI47" s="59"/>
      <x:c r="CJ47" s="59"/>
      <x:c r="CK47" s="59"/>
      <x:c r="CL47" s="59"/>
      <x:c r="CM47" s="59"/>
      <x:c r="CN47" s="59"/>
      <x:c r="CO47" s="59"/>
      <x:c r="CP47" s="59"/>
      <x:c r="CQ47" s="59"/>
      <x:c r="CR47" s="59"/>
      <x:c r="CS47" s="59"/>
      <x:c r="CT47" s="59"/>
      <x:c r="CU47" s="59"/>
      <x:c r="CV47" s="59"/>
      <x:c r="CW47" s="59"/>
      <x:c r="CX47" s="59"/>
      <x:c r="CY47" s="59"/>
      <x:c r="CZ47" s="59"/>
      <x:c r="DA47" s="59"/>
      <x:c r="DB47" s="59"/>
      <x:c r="DC47" s="59"/>
      <x:c r="DD47" s="59"/>
      <x:c r="DE47" s="59"/>
      <x:c r="DF47" s="59"/>
      <x:c r="DG47" s="59"/>
      <x:c r="DH47" s="59"/>
      <x:c r="DI47" s="59"/>
      <x:c r="DJ47" s="59"/>
      <x:c r="DK47" s="59"/>
      <x:c r="DL47" s="59"/>
      <x:c r="DM47" s="59"/>
      <x:c r="DN47" s="59"/>
      <x:c r="DO47" s="59"/>
      <x:c r="DP47" s="59"/>
      <x:c r="DQ47" s="59"/>
      <x:c r="DR47" s="59"/>
      <x:c r="DS47" s="59"/>
      <x:c r="DT47" s="59"/>
      <x:c r="DU47" s="59"/>
      <x:c r="DV47" s="59"/>
      <x:c r="DW47" s="59"/>
      <x:c r="DX47" s="59"/>
      <x:c r="DY47" s="59"/>
      <x:c r="DZ47" s="59"/>
      <x:c r="EA47" s="59"/>
      <x:c r="EB47" s="59"/>
      <x:c r="EC47" s="59"/>
      <x:c r="ED47" s="59"/>
      <x:c r="EE47" s="59"/>
      <x:c r="EF47" s="59"/>
      <x:c r="EG47" s="59"/>
      <x:c r="EH47" s="59"/>
      <x:c r="EI47" s="59"/>
      <x:c r="EJ47" s="59"/>
      <x:c r="EK47" s="59"/>
      <x:c r="EL47" s="59"/>
      <x:c r="EM47" s="59"/>
      <x:c r="EN47" s="59"/>
      <x:c r="EO47" s="59"/>
      <x:c r="EP47" s="59"/>
      <x:c r="EQ47" s="59"/>
      <x:c r="ER47" s="59"/>
      <x:c r="ES47" s="59"/>
      <x:c r="ET47" s="59"/>
      <x:c r="EU47" s="59"/>
      <x:c r="EV47" s="59"/>
      <x:c r="EW47" s="59"/>
      <x:c r="EX47" s="59"/>
      <x:c r="EY47" s="59"/>
      <x:c r="EZ47" s="59"/>
      <x:c r="FA47" s="59"/>
      <x:c r="FB47" s="59"/>
      <x:c r="FC47" s="59"/>
      <x:c r="FD47" s="59"/>
      <x:c r="FE47" s="59"/>
      <x:c r="FF47" s="59"/>
      <x:c r="FG47" s="59"/>
      <x:c r="FH47" s="59"/>
      <x:c r="FI47" s="59"/>
      <x:c r="FJ47" s="59"/>
      <x:c r="FK47" s="59"/>
      <x:c r="FL47" s="59"/>
      <x:c r="FM47" s="59"/>
      <x:c r="FN47" s="59"/>
      <x:c r="FO47" s="59"/>
      <x:c r="FP47" s="59"/>
      <x:c r="FQ47" s="59"/>
      <x:c r="FR47" s="59"/>
      <x:c r="FS47" s="59"/>
      <x:c r="FT47" s="59"/>
      <x:c r="FU47" s="59"/>
      <x:c r="FV47" s="59"/>
      <x:c r="FW47" s="59"/>
      <x:c r="FX47" s="59"/>
      <x:c r="FY47" s="59"/>
      <x:c r="FZ47" s="59"/>
      <x:c r="GA47" s="59"/>
      <x:c r="GB47" s="59"/>
      <x:c r="GC47" s="59"/>
      <x:c r="GD47" s="59"/>
      <x:c r="GE47" s="59"/>
      <x:c r="GF47" s="59"/>
      <x:c r="GG47" s="59"/>
      <x:c r="GH47" s="59"/>
      <x:c r="GI47" s="59"/>
      <x:c r="GJ47" s="59"/>
      <x:c r="GK47" s="59"/>
      <x:c r="GL47" s="59"/>
      <x:c r="GM47" s="59"/>
      <x:c r="GN47" s="59"/>
      <x:c r="GO47" s="59"/>
      <x:c r="GP47" s="59"/>
      <x:c r="GQ47" s="59"/>
      <x:c r="GR47" s="59"/>
      <x:c r="GS47" s="59"/>
      <x:c r="GT47" s="59"/>
      <x:c r="GU47" s="59"/>
      <x:c r="GV47" s="59"/>
      <x:c r="GW47" s="59"/>
      <x:c r="GX47" s="59"/>
      <x:c r="GY47" s="59"/>
      <x:c r="GZ47" s="59"/>
      <x:c r="HA47" s="59"/>
      <x:c r="HB47" s="59"/>
      <x:c r="HC47" s="59"/>
      <x:c r="HD47" s="59"/>
      <x:c r="HE47" s="59"/>
      <x:c r="HF47" s="59"/>
      <x:c r="HG47" s="59"/>
      <x:c r="HH47" s="59"/>
      <x:c r="HI47" s="59"/>
      <x:c r="HJ47" s="59"/>
      <x:c r="HK47" s="59"/>
      <x:c r="HL47" s="59"/>
      <x:c r="HM47" s="59"/>
      <x:c r="HN47" s="59"/>
      <x:c r="HO47" s="59"/>
      <x:c r="HP47" s="59"/>
      <x:c r="HQ47" s="59"/>
      <x:c r="HR47" s="59"/>
      <x:c r="HS47" s="59"/>
      <x:c r="HT47" s="59"/>
      <x:c r="HU47" s="59"/>
      <x:c r="HV47" s="59"/>
      <x:c r="HW47" s="59"/>
      <x:c r="HX47" s="59"/>
      <x:c r="HY47" s="59"/>
      <x:c r="HZ47" s="59"/>
      <x:c r="IA47" s="59"/>
      <x:c r="IB47" s="59"/>
      <x:c r="IC47" s="59"/>
      <x:c r="ID47" s="59"/>
      <x:c r="IE47" s="59"/>
      <x:c r="IF47" s="59"/>
      <x:c r="IG47" s="59"/>
      <x:c r="IH47" s="59"/>
      <x:c r="II47" s="59"/>
      <x:c r="IJ47" s="59"/>
      <x:c r="IK47" s="59"/>
      <x:c r="IL47" s="59"/>
      <x:c r="IM47" s="59"/>
      <x:c r="IN47" s="59"/>
      <x:c r="IO47" s="59"/>
      <x:c r="IP47" s="59"/>
      <x:c r="IQ47" s="59"/>
      <x:c r="IR47" s="59"/>
      <x:c r="IS47" s="59"/>
      <x:c r="IT47" s="59"/>
      <x:c r="IU47" s="59"/>
      <x:c r="IV47" s="59"/>
      <x:c r="IW47" s="59"/>
      <x:c r="IX47" s="59"/>
      <x:c r="IY47" s="59"/>
      <x:c r="IZ47" s="59"/>
      <x:c r="JA47" s="59"/>
      <x:c r="JB47" s="59"/>
      <x:c r="JC47" s="59"/>
      <x:c r="JD47" s="59"/>
      <x:c r="JE47" s="59"/>
      <x:c r="JF47" s="59"/>
      <x:c r="JG47" s="59"/>
      <x:c r="JH47" s="59"/>
      <x:c r="JI47" s="59"/>
      <x:c r="JJ47" s="59"/>
      <x:c r="JK47" s="59"/>
      <x:c r="JL47" s="59"/>
      <x:c r="JM47" s="59"/>
      <x:c r="JN47" s="59"/>
      <x:c r="JO47" s="59"/>
      <x:c r="JP47" s="59"/>
      <x:c r="JQ47" s="59"/>
      <x:c r="JR47" s="59"/>
      <x:c r="JS47" s="59"/>
      <x:c r="JT47" s="59"/>
      <x:c r="JU47" s="59"/>
      <x:c r="JV47" s="59"/>
      <x:c r="JW47" s="59"/>
      <x:c r="JX47" s="59"/>
      <x:c r="JY47" s="59"/>
      <x:c r="JZ47" s="59"/>
      <x:c r="KA47" s="59"/>
      <x:c r="KB47" s="59"/>
      <x:c r="KC47" s="59"/>
      <x:c r="KD47" s="59"/>
      <x:c r="KE47" s="59"/>
      <x:c r="KF47" s="59"/>
      <x:c r="KG47" s="59"/>
      <x:c r="KH47" s="59"/>
      <x:c r="KI47" s="59"/>
      <x:c r="KJ47" s="59"/>
      <x:c r="KK47" s="59"/>
      <x:c r="KL47" s="59"/>
      <x:c r="KM47" s="59"/>
      <x:c r="KN47" s="59"/>
      <x:c r="KO47" s="59"/>
      <x:c r="KP47" s="59"/>
      <x:c r="KQ47" s="59"/>
      <x:c r="KR47" s="59"/>
      <x:c r="KS47" s="59"/>
      <x:c r="KT47" s="59"/>
      <x:c r="KU47" s="59"/>
      <x:c r="KV47" s="59"/>
      <x:c r="KW47" s="59"/>
      <x:c r="KX47" s="59"/>
      <x:c r="KY47" s="59"/>
      <x:c r="KZ47" s="59"/>
      <x:c r="LA47" s="59"/>
      <x:c r="LB47" s="59"/>
      <x:c r="LC47" s="59"/>
      <x:c r="LD47" s="59"/>
      <x:c r="LE47" s="59"/>
      <x:c r="LF47" s="59"/>
      <x:c r="LG47" s="59"/>
      <x:c r="LH47" s="59"/>
      <x:c r="LI47" s="59"/>
      <x:c r="LJ47" s="59"/>
      <x:c r="LK47" s="59"/>
      <x:c r="LL47" s="59"/>
      <x:c r="LM47" s="59"/>
      <x:c r="LN47" s="59"/>
      <x:c r="LO47" s="59"/>
      <x:c r="LP47" s="59"/>
      <x:c r="LQ47" s="59"/>
      <x:c r="LR47" s="59"/>
      <x:c r="LS47" s="59"/>
      <x:c r="LT47" s="59"/>
      <x:c r="LU47" s="59"/>
      <x:c r="LV47" s="59"/>
      <x:c r="LW47" s="59"/>
      <x:c r="LX47" s="59"/>
      <x:c r="LY47" s="59"/>
      <x:c r="LZ47" s="59"/>
      <x:c r="MA47" s="59"/>
      <x:c r="MB47" s="59"/>
      <x:c r="MC47" s="59"/>
      <x:c r="MD47" s="59"/>
      <x:c r="ME47" s="59"/>
      <x:c r="MF47" s="59"/>
      <x:c r="MG47" s="59"/>
      <x:c r="MH47" s="59"/>
      <x:c r="MI47" s="59"/>
      <x:c r="MJ47" s="59"/>
      <x:c r="MK47" s="59"/>
      <x:c r="ML47" s="59"/>
      <x:c r="MM47" s="59"/>
      <x:c r="MN47" s="59"/>
      <x:c r="MO47" s="59"/>
      <x:c r="MP47" s="59"/>
      <x:c r="MQ47" s="59"/>
      <x:c r="MR47" s="59"/>
      <x:c r="MS47" s="59"/>
      <x:c r="MT47" s="59"/>
      <x:c r="MU47" s="59"/>
      <x:c r="MV47" s="59"/>
      <x:c r="MW47" s="59"/>
      <x:c r="MX47" s="59"/>
      <x:c r="MY47" s="59"/>
      <x:c r="MZ47" s="59"/>
      <x:c r="NA47" s="59"/>
      <x:c r="NB47" s="59"/>
      <x:c r="NC47" s="59"/>
      <x:c r="ND47" s="59"/>
      <x:c r="NE47" s="59"/>
      <x:c r="NF47" s="59"/>
      <x:c r="NG47" s="59"/>
      <x:c r="NH47" s="59"/>
      <x:c r="NI47" s="59"/>
      <x:c r="NJ47" s="59"/>
      <x:c r="NK47" s="59"/>
      <x:c r="NL47" s="59"/>
      <x:c r="NM47" s="59"/>
      <x:c r="NN47" s="59"/>
      <x:c r="NO47" s="59"/>
      <x:c r="NP47" s="59"/>
      <x:c r="NQ47" s="59"/>
      <x:c r="NR47" s="59"/>
      <x:c r="NS47" s="59"/>
      <x:c r="NT47" s="59"/>
      <x:c r="NU47" s="59"/>
      <x:c r="NV47" s="59"/>
      <x:c r="NW47" s="59"/>
      <x:c r="NX47" s="59"/>
      <x:c r="NY47" s="59"/>
      <x:c r="NZ47" s="59"/>
      <x:c r="OA47" s="59"/>
      <x:c r="OB47" s="59"/>
      <x:c r="OC47" s="59"/>
      <x:c r="OD47" s="59"/>
      <x:c r="OE47" s="59"/>
      <x:c r="OF47" s="59"/>
      <x:c r="OG47" s="59"/>
      <x:c r="OH47" s="59"/>
      <x:c r="OI47" s="59"/>
      <x:c r="OJ47" s="59"/>
      <x:c r="OK47" s="59"/>
      <x:c r="OL47" s="59"/>
      <x:c r="OM47" s="59"/>
      <x:c r="ON47" s="59"/>
      <x:c r="OO47" s="59"/>
      <x:c r="OP47" s="59"/>
      <x:c r="OQ47" s="59"/>
      <x:c r="OR47" s="59"/>
      <x:c r="OS47" s="59"/>
      <x:c r="OT47" s="59"/>
      <x:c r="OU47" s="59"/>
      <x:c r="OV47" s="59"/>
      <x:c r="OW47" s="59"/>
      <x:c r="OX47" s="59"/>
      <x:c r="OY47" s="59"/>
      <x:c r="OZ47" s="59"/>
      <x:c r="PA47" s="59"/>
      <x:c r="PB47" s="59"/>
      <x:c r="PC47" s="59"/>
      <x:c r="PD47" s="59"/>
      <x:c r="PE47" s="59"/>
      <x:c r="PF47" s="59"/>
      <x:c r="PG47" s="59"/>
      <x:c r="PH47" s="59"/>
      <x:c r="PI47" s="59"/>
      <x:c r="PJ47" s="59"/>
      <x:c r="PK47" s="59"/>
      <x:c r="PL47" s="59"/>
      <x:c r="PM47" s="59"/>
      <x:c r="PN47" s="59"/>
      <x:c r="PO47" s="59"/>
      <x:c r="PP47" s="59"/>
      <x:c r="PQ47" s="59"/>
      <x:c r="PR47" s="59"/>
      <x:c r="PS47" s="59"/>
      <x:c r="PT47" s="59"/>
      <x:c r="PU47" s="59"/>
      <x:c r="PV47" s="59"/>
      <x:c r="PW47" s="59"/>
      <x:c r="PX47" s="59"/>
      <x:c r="PY47" s="59"/>
      <x:c r="PZ47" s="59"/>
      <x:c r="QA47" s="59"/>
      <x:c r="QB47" s="59"/>
      <x:c r="QC47" s="59"/>
      <x:c r="QD47" s="59"/>
      <x:c r="QE47" s="59"/>
      <x:c r="QF47" s="59"/>
      <x:c r="QG47" s="59"/>
      <x:c r="QH47" s="59"/>
      <x:c r="QI47" s="59"/>
      <x:c r="QJ47" s="59"/>
      <x:c r="QK47" s="59"/>
      <x:c r="QL47" s="59"/>
      <x:c r="QM47" s="59"/>
      <x:c r="QN47" s="59"/>
      <x:c r="QO47" s="59"/>
      <x:c r="QP47" s="59"/>
      <x:c r="QQ47" s="59"/>
      <x:c r="QR47" s="59"/>
      <x:c r="QS47" s="59"/>
      <x:c r="QT47" s="59"/>
      <x:c r="QU47" s="59"/>
      <x:c r="QV47" s="59"/>
      <x:c r="QW47" s="59"/>
      <x:c r="QX47" s="59"/>
      <x:c r="QY47" s="59"/>
      <x:c r="QZ47" s="59"/>
      <x:c r="RA47" s="59"/>
      <x:c r="RB47" s="59"/>
      <x:c r="RC47" s="59"/>
      <x:c r="RD47" s="59"/>
      <x:c r="RE47" s="59"/>
      <x:c r="RF47" s="59"/>
      <x:c r="RG47" s="59"/>
      <x:c r="RH47" s="59"/>
      <x:c r="RI47" s="59"/>
      <x:c r="RJ47" s="59"/>
      <x:c r="RK47" s="59"/>
      <x:c r="RL47" s="59"/>
      <x:c r="RM47" s="59"/>
      <x:c r="RN47" s="59"/>
      <x:c r="RO47" s="59"/>
      <x:c r="RP47" s="59"/>
      <x:c r="RQ47" s="59"/>
      <x:c r="RR47" s="59"/>
      <x:c r="RS47" s="59"/>
      <x:c r="RT47" s="59"/>
      <x:c r="RU47" s="59"/>
      <x:c r="RV47" s="59"/>
      <x:c r="RW47" s="59"/>
      <x:c r="RX47" s="59"/>
      <x:c r="RY47" s="59"/>
      <x:c r="RZ47" s="59"/>
      <x:c r="SA47" s="59"/>
      <x:c r="SB47" s="59"/>
      <x:c r="SC47" s="59"/>
      <x:c r="SD47" s="59"/>
      <x:c r="SE47" s="59"/>
      <x:c r="SF47" s="59"/>
    </x:row>
    <x:row r="49" ht="15.75" customHeight="1">
      <x:c r="A49" s="62" t="s">
        <x:v>106</x:v>
      </x:c>
      <x:c r="B49" s="62"/>
      <x:c r="C49" s="62"/>
      <x:c r="D49" s="62"/>
      <x:c r="E49" s="62"/>
      <x:c r="F49" s="62"/>
      <x:c r="G49" s="62"/>
      <x:c r="H49" s="62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  <x:c r="AA49" s="59"/>
      <x:c r="AB49" s="59"/>
      <x:c r="AC49" s="59"/>
      <x:c r="AD49" s="59"/>
      <x:c r="AE49" s="59"/>
      <x:c r="AF49" s="59"/>
      <x:c r="AG49" s="59"/>
      <x:c r="AH49" s="59"/>
      <x:c r="AI49" s="59"/>
      <x:c r="AJ49" s="59"/>
      <x:c r="AK49" s="59"/>
      <x:c r="AL49" s="59"/>
      <x:c r="AM49" s="59"/>
      <x:c r="AN49" s="59"/>
      <x:c r="AO49" s="59"/>
      <x:c r="AP49" s="59"/>
      <x:c r="AQ49" s="59"/>
      <x:c r="AR49" s="59"/>
      <x:c r="AS49" s="59"/>
      <x:c r="AT49" s="59"/>
      <x:c r="AU49" s="59"/>
      <x:c r="AV49" s="59"/>
      <x:c r="AW49" s="59"/>
      <x:c r="AX49" s="59"/>
      <x:c r="AY49" s="59"/>
      <x:c r="AZ49" s="59"/>
      <x:c r="BA49" s="59"/>
      <x:c r="BB49" s="59"/>
      <x:c r="BC49" s="59"/>
      <x:c r="BD49" s="59"/>
      <x:c r="BE49" s="59"/>
      <x:c r="BF49" s="59"/>
      <x:c r="BG49" s="59"/>
      <x:c r="BH49" s="59"/>
      <x:c r="BI49" s="59"/>
      <x:c r="BJ49" s="59"/>
      <x:c r="BK49" s="59"/>
      <x:c r="BL49" s="59"/>
      <x:c r="BM49" s="59"/>
      <x:c r="BN49" s="59"/>
      <x:c r="BO49" s="59"/>
      <x:c r="BP49" s="59"/>
      <x:c r="BQ49" s="59"/>
      <x:c r="BR49" s="59"/>
      <x:c r="BS49" s="59"/>
      <x:c r="BT49" s="59"/>
      <x:c r="BU49" s="59"/>
      <x:c r="BV49" s="59"/>
      <x:c r="BW49" s="59"/>
      <x:c r="BX49" s="59"/>
      <x:c r="BY49" s="59"/>
      <x:c r="BZ49" s="59"/>
      <x:c r="CA49" s="59"/>
      <x:c r="CB49" s="59"/>
      <x:c r="CC49" s="59"/>
      <x:c r="CD49" s="59"/>
      <x:c r="CE49" s="59"/>
      <x:c r="CF49" s="59"/>
      <x:c r="CG49" s="59"/>
      <x:c r="CH49" s="59"/>
      <x:c r="CI49" s="59"/>
      <x:c r="CJ49" s="59"/>
      <x:c r="CK49" s="59"/>
      <x:c r="CL49" s="59"/>
      <x:c r="CM49" s="59"/>
      <x:c r="CN49" s="59"/>
      <x:c r="CO49" s="59"/>
      <x:c r="CP49" s="59"/>
      <x:c r="CQ49" s="59"/>
      <x:c r="CR49" s="59"/>
      <x:c r="CS49" s="59"/>
      <x:c r="CT49" s="59"/>
      <x:c r="CU49" s="59"/>
      <x:c r="CV49" s="59"/>
      <x:c r="CW49" s="59"/>
      <x:c r="CX49" s="59"/>
      <x:c r="CY49" s="59"/>
      <x:c r="CZ49" s="59"/>
      <x:c r="DA49" s="59"/>
      <x:c r="DB49" s="59"/>
      <x:c r="DC49" s="59"/>
      <x:c r="DD49" s="59"/>
      <x:c r="DE49" s="59"/>
      <x:c r="DF49" s="59"/>
      <x:c r="DG49" s="59"/>
      <x:c r="DH49" s="59"/>
      <x:c r="DI49" s="59"/>
      <x:c r="DJ49" s="59"/>
      <x:c r="DK49" s="59"/>
      <x:c r="DL49" s="59"/>
      <x:c r="DM49" s="59"/>
      <x:c r="DN49" s="59"/>
      <x:c r="DO49" s="59"/>
      <x:c r="DP49" s="59"/>
      <x:c r="DQ49" s="59"/>
      <x:c r="DR49" s="59"/>
      <x:c r="DS49" s="59"/>
      <x:c r="DT49" s="59"/>
      <x:c r="DU49" s="59"/>
      <x:c r="DV49" s="59"/>
      <x:c r="DW49" s="59"/>
      <x:c r="DX49" s="59"/>
      <x:c r="DY49" s="59"/>
      <x:c r="DZ49" s="59"/>
      <x:c r="EA49" s="59"/>
      <x:c r="EB49" s="59"/>
      <x:c r="EC49" s="59"/>
      <x:c r="ED49" s="59"/>
      <x:c r="EE49" s="59"/>
      <x:c r="EF49" s="59"/>
      <x:c r="EG49" s="59"/>
      <x:c r="EH49" s="59"/>
      <x:c r="EI49" s="59"/>
      <x:c r="EJ49" s="59"/>
      <x:c r="EK49" s="59"/>
      <x:c r="EL49" s="59"/>
      <x:c r="EM49" s="59"/>
      <x:c r="EN49" s="59"/>
      <x:c r="EO49" s="59"/>
      <x:c r="EP49" s="59"/>
      <x:c r="EQ49" s="59"/>
      <x:c r="ER49" s="59"/>
      <x:c r="ES49" s="59"/>
      <x:c r="ET49" s="59"/>
      <x:c r="EU49" s="59"/>
      <x:c r="EV49" s="59"/>
      <x:c r="EW49" s="59"/>
      <x:c r="EX49" s="59"/>
      <x:c r="EY49" s="59"/>
      <x:c r="EZ49" s="59"/>
      <x:c r="FA49" s="59"/>
      <x:c r="FB49" s="59"/>
      <x:c r="FC49" s="59"/>
      <x:c r="FD49" s="59"/>
      <x:c r="FE49" s="59"/>
      <x:c r="FF49" s="59"/>
      <x:c r="FG49" s="59"/>
      <x:c r="FH49" s="59"/>
      <x:c r="FI49" s="59"/>
      <x:c r="FJ49" s="59"/>
      <x:c r="FK49" s="59"/>
      <x:c r="FL49" s="59"/>
      <x:c r="FM49" s="59"/>
      <x:c r="FN49" s="59"/>
      <x:c r="FO49" s="59"/>
      <x:c r="FP49" s="59"/>
      <x:c r="FQ49" s="59"/>
      <x:c r="FR49" s="59"/>
      <x:c r="FS49" s="59"/>
      <x:c r="FT49" s="59"/>
      <x:c r="FU49" s="59"/>
      <x:c r="FV49" s="59"/>
      <x:c r="FW49" s="59"/>
      <x:c r="FX49" s="59"/>
      <x:c r="FY49" s="59"/>
      <x:c r="FZ49" s="59"/>
      <x:c r="GA49" s="59"/>
      <x:c r="GB49" s="59"/>
      <x:c r="GC49" s="59"/>
      <x:c r="GD49" s="59"/>
      <x:c r="GE49" s="59"/>
      <x:c r="GF49" s="59"/>
      <x:c r="GG49" s="59"/>
      <x:c r="GH49" s="59"/>
      <x:c r="GI49" s="59"/>
      <x:c r="GJ49" s="59"/>
      <x:c r="GK49" s="59"/>
      <x:c r="GL49" s="59"/>
      <x:c r="GM49" s="59"/>
      <x:c r="GN49" s="59"/>
      <x:c r="GO49" s="59"/>
      <x:c r="GP49" s="59"/>
      <x:c r="GQ49" s="59"/>
      <x:c r="GR49" s="59"/>
      <x:c r="GS49" s="59"/>
      <x:c r="GT49" s="59"/>
      <x:c r="GU49" s="59"/>
      <x:c r="GV49" s="59"/>
      <x:c r="GW49" s="59"/>
      <x:c r="GX49" s="59"/>
      <x:c r="GY49" s="59"/>
      <x:c r="GZ49" s="59"/>
      <x:c r="HA49" s="59"/>
      <x:c r="HB49" s="59"/>
      <x:c r="HC49" s="59"/>
      <x:c r="HD49" s="59"/>
      <x:c r="HE49" s="59"/>
      <x:c r="HF49" s="59"/>
      <x:c r="HG49" s="59"/>
      <x:c r="HH49" s="59"/>
      <x:c r="HI49" s="59"/>
      <x:c r="HJ49" s="59"/>
      <x:c r="HK49" s="59"/>
      <x:c r="HL49" s="59"/>
      <x:c r="HM49" s="59"/>
      <x:c r="HN49" s="59"/>
      <x:c r="HO49" s="59"/>
      <x:c r="HP49" s="59"/>
      <x:c r="HQ49" s="59"/>
      <x:c r="HR49" s="59"/>
      <x:c r="HS49" s="59"/>
      <x:c r="HT49" s="59"/>
      <x:c r="HU49" s="59"/>
      <x:c r="HV49" s="59"/>
      <x:c r="HW49" s="59"/>
      <x:c r="HX49" s="59"/>
      <x:c r="HY49" s="59"/>
      <x:c r="HZ49" s="59"/>
      <x:c r="IA49" s="59"/>
      <x:c r="IB49" s="59"/>
      <x:c r="IC49" s="59"/>
      <x:c r="ID49" s="59"/>
      <x:c r="IE49" s="59"/>
      <x:c r="IF49" s="59"/>
      <x:c r="IG49" s="59"/>
      <x:c r="IH49" s="59"/>
      <x:c r="II49" s="59"/>
      <x:c r="IJ49" s="59"/>
      <x:c r="IK49" s="59"/>
      <x:c r="IL49" s="59"/>
      <x:c r="IM49" s="59"/>
      <x:c r="IN49" s="59"/>
      <x:c r="IO49" s="59"/>
      <x:c r="IP49" s="59"/>
      <x:c r="IQ49" s="59"/>
      <x:c r="IR49" s="59"/>
      <x:c r="IS49" s="59"/>
      <x:c r="IT49" s="59"/>
      <x:c r="IU49" s="59"/>
      <x:c r="IV49" s="59"/>
      <x:c r="IW49" s="59"/>
      <x:c r="IX49" s="59"/>
      <x:c r="IY49" s="59"/>
      <x:c r="IZ49" s="59"/>
      <x:c r="JA49" s="59"/>
      <x:c r="JB49" s="59"/>
      <x:c r="JC49" s="59"/>
      <x:c r="JD49" s="59"/>
      <x:c r="JE49" s="59"/>
      <x:c r="JF49" s="59"/>
      <x:c r="JG49" s="59"/>
      <x:c r="JH49" s="59"/>
      <x:c r="JI49" s="59"/>
      <x:c r="JJ49" s="59"/>
      <x:c r="JK49" s="59"/>
      <x:c r="JL49" s="59"/>
      <x:c r="JM49" s="59"/>
      <x:c r="JN49" s="59"/>
      <x:c r="JO49" s="59"/>
      <x:c r="JP49" s="59"/>
      <x:c r="JQ49" s="59"/>
      <x:c r="JR49" s="59"/>
      <x:c r="JS49" s="59"/>
      <x:c r="JT49" s="59"/>
      <x:c r="JU49" s="59"/>
      <x:c r="JV49" s="59"/>
      <x:c r="JW49" s="59"/>
      <x:c r="JX49" s="59"/>
      <x:c r="JY49" s="59"/>
      <x:c r="JZ49" s="59"/>
      <x:c r="KA49" s="59"/>
      <x:c r="KB49" s="59"/>
      <x:c r="KC49" s="59"/>
      <x:c r="KD49" s="59"/>
      <x:c r="KE49" s="59"/>
      <x:c r="KF49" s="59"/>
      <x:c r="KG49" s="59"/>
      <x:c r="KH49" s="59"/>
      <x:c r="KI49" s="59"/>
      <x:c r="KJ49" s="59"/>
      <x:c r="KK49" s="59"/>
      <x:c r="KL49" s="59"/>
      <x:c r="KM49" s="59"/>
      <x:c r="KN49" s="59"/>
      <x:c r="KO49" s="59"/>
      <x:c r="KP49" s="59"/>
      <x:c r="KQ49" s="59"/>
      <x:c r="KR49" s="59"/>
      <x:c r="KS49" s="59"/>
      <x:c r="KT49" s="59"/>
      <x:c r="KU49" s="59"/>
      <x:c r="KV49" s="59"/>
      <x:c r="KW49" s="59"/>
      <x:c r="KX49" s="59"/>
      <x:c r="KY49" s="59"/>
      <x:c r="KZ49" s="59"/>
      <x:c r="LA49" s="59"/>
      <x:c r="LB49" s="59"/>
      <x:c r="LC49" s="59"/>
      <x:c r="LD49" s="59"/>
      <x:c r="LE49" s="59"/>
      <x:c r="LF49" s="59"/>
      <x:c r="LG49" s="59"/>
      <x:c r="LH49" s="59"/>
      <x:c r="LI49" s="59"/>
      <x:c r="LJ49" s="59"/>
      <x:c r="LK49" s="59"/>
      <x:c r="LL49" s="59"/>
      <x:c r="LM49" s="59"/>
      <x:c r="LN49" s="59"/>
      <x:c r="LO49" s="59"/>
      <x:c r="LP49" s="59"/>
      <x:c r="LQ49" s="59"/>
      <x:c r="LR49" s="59"/>
      <x:c r="LS49" s="59"/>
      <x:c r="LT49" s="59"/>
      <x:c r="LU49" s="59"/>
      <x:c r="LV49" s="59"/>
      <x:c r="LW49" s="59"/>
      <x:c r="LX49" s="59"/>
      <x:c r="LY49" s="59"/>
      <x:c r="LZ49" s="59"/>
      <x:c r="MA49" s="59"/>
      <x:c r="MB49" s="59"/>
      <x:c r="MC49" s="59"/>
      <x:c r="MD49" s="59"/>
      <x:c r="ME49" s="59"/>
      <x:c r="MF49" s="59"/>
      <x:c r="MG49" s="59"/>
      <x:c r="MH49" s="59"/>
      <x:c r="MI49" s="59"/>
      <x:c r="MJ49" s="59"/>
      <x:c r="MK49" s="59"/>
      <x:c r="ML49" s="59"/>
      <x:c r="MM49" s="59"/>
      <x:c r="MN49" s="59"/>
      <x:c r="MO49" s="59"/>
      <x:c r="MP49" s="59"/>
      <x:c r="MQ49" s="59"/>
      <x:c r="MR49" s="59"/>
      <x:c r="MS49" s="59"/>
      <x:c r="MT49" s="59"/>
      <x:c r="MU49" s="59"/>
      <x:c r="MV49" s="59"/>
      <x:c r="MW49" s="59"/>
      <x:c r="MX49" s="59"/>
      <x:c r="MY49" s="59"/>
      <x:c r="MZ49" s="59"/>
      <x:c r="NA49" s="59"/>
      <x:c r="NB49" s="59"/>
      <x:c r="NC49" s="59"/>
      <x:c r="ND49" s="59"/>
      <x:c r="NE49" s="59"/>
      <x:c r="NF49" s="59"/>
      <x:c r="NG49" s="59"/>
      <x:c r="NH49" s="59"/>
      <x:c r="NI49" s="59"/>
      <x:c r="NJ49" s="59"/>
      <x:c r="NK49" s="59"/>
      <x:c r="NL49" s="59"/>
      <x:c r="NM49" s="59"/>
      <x:c r="NN49" s="59"/>
      <x:c r="NO49" s="59"/>
      <x:c r="NP49" s="59"/>
      <x:c r="NQ49" s="59"/>
      <x:c r="NR49" s="59"/>
      <x:c r="NS49" s="59"/>
      <x:c r="NT49" s="59"/>
      <x:c r="NU49" s="59"/>
      <x:c r="NV49" s="59"/>
      <x:c r="NW49" s="59"/>
      <x:c r="NX49" s="59"/>
      <x:c r="NY49" s="59"/>
      <x:c r="NZ49" s="59"/>
      <x:c r="OA49" s="59"/>
      <x:c r="OB49" s="59"/>
      <x:c r="OC49" s="59"/>
      <x:c r="OD49" s="59"/>
      <x:c r="OE49" s="59"/>
      <x:c r="OF49" s="59"/>
      <x:c r="OG49" s="59"/>
      <x:c r="OH49" s="59"/>
      <x:c r="OI49" s="59"/>
      <x:c r="OJ49" s="59"/>
      <x:c r="OK49" s="59"/>
      <x:c r="OL49" s="59"/>
      <x:c r="OM49" s="59"/>
      <x:c r="ON49" s="59"/>
      <x:c r="OO49" s="59"/>
      <x:c r="OP49" s="59"/>
      <x:c r="OQ49" s="59"/>
      <x:c r="OR49" s="59"/>
      <x:c r="OS49" s="59"/>
      <x:c r="OT49" s="59"/>
      <x:c r="OU49" s="59"/>
      <x:c r="OV49" s="59"/>
      <x:c r="OW49" s="59"/>
      <x:c r="OX49" s="59"/>
      <x:c r="OY49" s="59"/>
      <x:c r="OZ49" s="59"/>
      <x:c r="PA49" s="59"/>
      <x:c r="PB49" s="59"/>
      <x:c r="PC49" s="59"/>
      <x:c r="PD49" s="59"/>
      <x:c r="PE49" s="59"/>
      <x:c r="PF49" s="59"/>
      <x:c r="PG49" s="59"/>
      <x:c r="PH49" s="59"/>
      <x:c r="PI49" s="59"/>
      <x:c r="PJ49" s="59"/>
      <x:c r="PK49" s="59"/>
      <x:c r="PL49" s="59"/>
      <x:c r="PM49" s="59"/>
      <x:c r="PN49" s="59"/>
      <x:c r="PO49" s="59"/>
      <x:c r="PP49" s="59"/>
      <x:c r="PQ49" s="59"/>
      <x:c r="PR49" s="59"/>
      <x:c r="PS49" s="59"/>
      <x:c r="PT49" s="59"/>
      <x:c r="PU49" s="59"/>
      <x:c r="PV49" s="59"/>
      <x:c r="PW49" s="59"/>
      <x:c r="PX49" s="59"/>
      <x:c r="PY49" s="59"/>
      <x:c r="PZ49" s="59"/>
      <x:c r="QA49" s="59"/>
      <x:c r="QB49" s="59"/>
      <x:c r="QC49" s="59"/>
      <x:c r="QD49" s="59"/>
      <x:c r="QE49" s="59"/>
      <x:c r="QF49" s="59"/>
      <x:c r="QG49" s="59"/>
      <x:c r="QH49" s="59"/>
      <x:c r="QI49" s="59"/>
      <x:c r="QJ49" s="59"/>
      <x:c r="QK49" s="59"/>
      <x:c r="QL49" s="59"/>
      <x:c r="QM49" s="59"/>
      <x:c r="QN49" s="59"/>
      <x:c r="QO49" s="59"/>
      <x:c r="QP49" s="59"/>
      <x:c r="QQ49" s="59"/>
      <x:c r="QR49" s="59"/>
      <x:c r="QS49" s="59"/>
      <x:c r="QT49" s="59"/>
      <x:c r="QU49" s="59"/>
      <x:c r="QV49" s="59"/>
      <x:c r="QW49" s="59"/>
      <x:c r="QX49" s="59"/>
      <x:c r="QY49" s="59"/>
      <x:c r="QZ49" s="59"/>
      <x:c r="RA49" s="59"/>
      <x:c r="RB49" s="59"/>
      <x:c r="RC49" s="59"/>
      <x:c r="RD49" s="59"/>
      <x:c r="RE49" s="59"/>
      <x:c r="RF49" s="59"/>
      <x:c r="RG49" s="59"/>
      <x:c r="RH49" s="59"/>
      <x:c r="RI49" s="59"/>
      <x:c r="RJ49" s="59"/>
      <x:c r="RK49" s="59"/>
      <x:c r="RL49" s="59"/>
      <x:c r="RM49" s="59"/>
      <x:c r="RN49" s="59"/>
      <x:c r="RO49" s="59"/>
      <x:c r="RP49" s="59"/>
      <x:c r="RQ49" s="59"/>
      <x:c r="RR49" s="59"/>
      <x:c r="RS49" s="59"/>
      <x:c r="RT49" s="59"/>
      <x:c r="RU49" s="59"/>
      <x:c r="RV49" s="59"/>
      <x:c r="RW49" s="59"/>
      <x:c r="RX49" s="59"/>
      <x:c r="RY49" s="59"/>
      <x:c r="RZ49" s="59"/>
      <x:c r="SA49" s="59"/>
      <x:c r="SB49" s="59"/>
      <x:c r="SC49" s="59"/>
      <x:c r="SD49" s="59"/>
      <x:c r="SE49" s="59"/>
      <x:c r="SF49" s="59"/>
    </x:row>
    <x:row r="50">
      <x:c r="A50" s="67" t="s">
        <x:v>107</x:v>
      </x:c>
      <x:c r="B50" s="67"/>
      <x:c r="C50" s="67"/>
      <x:c r="D50" s="67"/>
      <x:c r="E50" s="67"/>
      <x:c r="F50" s="67"/>
      <x:c r="G50" s="67"/>
      <x:c r="H50" s="67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  <x:c r="AA50" s="59"/>
      <x:c r="AB50" s="59"/>
      <x:c r="AC50" s="59"/>
      <x:c r="AD50" s="59"/>
      <x:c r="AE50" s="59"/>
      <x:c r="AF50" s="59"/>
      <x:c r="AG50" s="59"/>
      <x:c r="AH50" s="59"/>
      <x:c r="AI50" s="59"/>
      <x:c r="AJ50" s="59"/>
      <x:c r="AK50" s="59"/>
      <x:c r="AL50" s="59"/>
      <x:c r="AM50" s="59"/>
      <x:c r="AN50" s="59"/>
      <x:c r="AO50" s="59"/>
      <x:c r="AP50" s="59"/>
      <x:c r="AQ50" s="59"/>
      <x:c r="AR50" s="59"/>
      <x:c r="AS50" s="59"/>
      <x:c r="AT50" s="59"/>
      <x:c r="AU50" s="59"/>
      <x:c r="AV50" s="59"/>
      <x:c r="AW50" s="59"/>
      <x:c r="AX50" s="59"/>
      <x:c r="AY50" s="59"/>
      <x:c r="AZ50" s="59"/>
      <x:c r="BA50" s="59"/>
      <x:c r="BB50" s="59"/>
      <x:c r="BC50" s="59"/>
      <x:c r="BD50" s="59"/>
      <x:c r="BE50" s="59"/>
      <x:c r="BF50" s="59"/>
      <x:c r="BG50" s="59"/>
      <x:c r="BH50" s="59"/>
      <x:c r="BI50" s="59"/>
      <x:c r="BJ50" s="59"/>
      <x:c r="BK50" s="59"/>
      <x:c r="BL50" s="59"/>
      <x:c r="BM50" s="59"/>
      <x:c r="BN50" s="59"/>
      <x:c r="BO50" s="59"/>
      <x:c r="BP50" s="59"/>
      <x:c r="BQ50" s="59"/>
      <x:c r="BR50" s="59"/>
      <x:c r="BS50" s="59"/>
      <x:c r="BT50" s="59"/>
      <x:c r="BU50" s="59"/>
      <x:c r="BV50" s="59"/>
      <x:c r="BW50" s="59"/>
      <x:c r="BX50" s="59"/>
      <x:c r="BY50" s="59"/>
      <x:c r="BZ50" s="59"/>
      <x:c r="CA50" s="59"/>
      <x:c r="CB50" s="59"/>
      <x:c r="CC50" s="59"/>
      <x:c r="CD50" s="59"/>
      <x:c r="CE50" s="59"/>
      <x:c r="CF50" s="59"/>
      <x:c r="CG50" s="59"/>
      <x:c r="CH50" s="59"/>
      <x:c r="CI50" s="59"/>
      <x:c r="CJ50" s="59"/>
      <x:c r="CK50" s="59"/>
      <x:c r="CL50" s="59"/>
      <x:c r="CM50" s="59"/>
      <x:c r="CN50" s="59"/>
      <x:c r="CO50" s="59"/>
      <x:c r="CP50" s="59"/>
      <x:c r="CQ50" s="59"/>
      <x:c r="CR50" s="59"/>
      <x:c r="CS50" s="59"/>
      <x:c r="CT50" s="59"/>
      <x:c r="CU50" s="59"/>
      <x:c r="CV50" s="59"/>
      <x:c r="CW50" s="59"/>
      <x:c r="CX50" s="59"/>
      <x:c r="CY50" s="59"/>
      <x:c r="CZ50" s="59"/>
      <x:c r="DA50" s="59"/>
      <x:c r="DB50" s="59"/>
      <x:c r="DC50" s="59"/>
      <x:c r="DD50" s="59"/>
      <x:c r="DE50" s="59"/>
      <x:c r="DF50" s="59"/>
      <x:c r="DG50" s="59"/>
      <x:c r="DH50" s="59"/>
      <x:c r="DI50" s="59"/>
      <x:c r="DJ50" s="59"/>
      <x:c r="DK50" s="59"/>
      <x:c r="DL50" s="59"/>
      <x:c r="DM50" s="59"/>
      <x:c r="DN50" s="59"/>
      <x:c r="DO50" s="59"/>
      <x:c r="DP50" s="59"/>
      <x:c r="DQ50" s="59"/>
      <x:c r="DR50" s="59"/>
      <x:c r="DS50" s="59"/>
      <x:c r="DT50" s="59"/>
      <x:c r="DU50" s="59"/>
      <x:c r="DV50" s="59"/>
      <x:c r="DW50" s="59"/>
      <x:c r="DX50" s="59"/>
      <x:c r="DY50" s="59"/>
      <x:c r="DZ50" s="59"/>
      <x:c r="EA50" s="59"/>
      <x:c r="EB50" s="59"/>
      <x:c r="EC50" s="59"/>
      <x:c r="ED50" s="59"/>
      <x:c r="EE50" s="59"/>
      <x:c r="EF50" s="59"/>
      <x:c r="EG50" s="59"/>
      <x:c r="EH50" s="59"/>
      <x:c r="EI50" s="59"/>
      <x:c r="EJ50" s="59"/>
      <x:c r="EK50" s="59"/>
      <x:c r="EL50" s="59"/>
      <x:c r="EM50" s="59"/>
      <x:c r="EN50" s="59"/>
      <x:c r="EO50" s="59"/>
      <x:c r="EP50" s="59"/>
      <x:c r="EQ50" s="59"/>
      <x:c r="ER50" s="59"/>
      <x:c r="ES50" s="59"/>
      <x:c r="ET50" s="59"/>
      <x:c r="EU50" s="59"/>
      <x:c r="EV50" s="59"/>
      <x:c r="EW50" s="59"/>
      <x:c r="EX50" s="59"/>
      <x:c r="EY50" s="59"/>
      <x:c r="EZ50" s="59"/>
      <x:c r="FA50" s="59"/>
      <x:c r="FB50" s="59"/>
      <x:c r="FC50" s="59"/>
      <x:c r="FD50" s="59"/>
      <x:c r="FE50" s="59"/>
      <x:c r="FF50" s="59"/>
      <x:c r="FG50" s="59"/>
      <x:c r="FH50" s="59"/>
      <x:c r="FI50" s="59"/>
      <x:c r="FJ50" s="59"/>
      <x:c r="FK50" s="59"/>
      <x:c r="FL50" s="59"/>
      <x:c r="FM50" s="59"/>
      <x:c r="FN50" s="59"/>
      <x:c r="FO50" s="59"/>
      <x:c r="FP50" s="59"/>
      <x:c r="FQ50" s="59"/>
      <x:c r="FR50" s="59"/>
      <x:c r="FS50" s="59"/>
      <x:c r="FT50" s="59"/>
      <x:c r="FU50" s="59"/>
      <x:c r="FV50" s="59"/>
      <x:c r="FW50" s="59"/>
      <x:c r="FX50" s="59"/>
      <x:c r="FY50" s="59"/>
      <x:c r="FZ50" s="59"/>
      <x:c r="GA50" s="59"/>
      <x:c r="GB50" s="59"/>
      <x:c r="GC50" s="59"/>
      <x:c r="GD50" s="59"/>
      <x:c r="GE50" s="59"/>
      <x:c r="GF50" s="59"/>
      <x:c r="GG50" s="59"/>
      <x:c r="GH50" s="59"/>
      <x:c r="GI50" s="59"/>
      <x:c r="GJ50" s="59"/>
      <x:c r="GK50" s="59"/>
      <x:c r="GL50" s="59"/>
      <x:c r="GM50" s="59"/>
      <x:c r="GN50" s="59"/>
      <x:c r="GO50" s="59"/>
      <x:c r="GP50" s="59"/>
      <x:c r="GQ50" s="59"/>
      <x:c r="GR50" s="59"/>
      <x:c r="GS50" s="59"/>
      <x:c r="GT50" s="59"/>
      <x:c r="GU50" s="59"/>
      <x:c r="GV50" s="59"/>
      <x:c r="GW50" s="59"/>
      <x:c r="GX50" s="59"/>
      <x:c r="GY50" s="59"/>
      <x:c r="GZ50" s="59"/>
      <x:c r="HA50" s="59"/>
      <x:c r="HB50" s="59"/>
      <x:c r="HC50" s="59"/>
      <x:c r="HD50" s="59"/>
      <x:c r="HE50" s="59"/>
      <x:c r="HF50" s="59"/>
      <x:c r="HG50" s="59"/>
      <x:c r="HH50" s="59"/>
      <x:c r="HI50" s="59"/>
      <x:c r="HJ50" s="59"/>
      <x:c r="HK50" s="59"/>
      <x:c r="HL50" s="59"/>
      <x:c r="HM50" s="59"/>
      <x:c r="HN50" s="59"/>
      <x:c r="HO50" s="59"/>
      <x:c r="HP50" s="59"/>
      <x:c r="HQ50" s="59"/>
      <x:c r="HR50" s="59"/>
      <x:c r="HS50" s="59"/>
      <x:c r="HT50" s="59"/>
      <x:c r="HU50" s="59"/>
      <x:c r="HV50" s="59"/>
      <x:c r="HW50" s="59"/>
      <x:c r="HX50" s="59"/>
      <x:c r="HY50" s="59"/>
      <x:c r="HZ50" s="59"/>
      <x:c r="IA50" s="59"/>
      <x:c r="IB50" s="59"/>
      <x:c r="IC50" s="59"/>
      <x:c r="ID50" s="59"/>
      <x:c r="IE50" s="59"/>
      <x:c r="IF50" s="59"/>
      <x:c r="IG50" s="59"/>
      <x:c r="IH50" s="59"/>
      <x:c r="II50" s="59"/>
      <x:c r="IJ50" s="59"/>
      <x:c r="IK50" s="59"/>
      <x:c r="IL50" s="59"/>
      <x:c r="IM50" s="59"/>
      <x:c r="IN50" s="59"/>
      <x:c r="IO50" s="59"/>
      <x:c r="IP50" s="59"/>
      <x:c r="IQ50" s="59"/>
      <x:c r="IR50" s="59"/>
      <x:c r="IS50" s="59"/>
      <x:c r="IT50" s="59"/>
      <x:c r="IU50" s="59"/>
      <x:c r="IV50" s="59"/>
      <x:c r="IW50" s="59"/>
      <x:c r="IX50" s="59"/>
      <x:c r="IY50" s="59"/>
      <x:c r="IZ50" s="59"/>
      <x:c r="JA50" s="59"/>
      <x:c r="JB50" s="59"/>
      <x:c r="JC50" s="59"/>
      <x:c r="JD50" s="59"/>
      <x:c r="JE50" s="59"/>
      <x:c r="JF50" s="59"/>
      <x:c r="JG50" s="59"/>
      <x:c r="JH50" s="59"/>
      <x:c r="JI50" s="59"/>
      <x:c r="JJ50" s="59"/>
      <x:c r="JK50" s="59"/>
      <x:c r="JL50" s="59"/>
      <x:c r="JM50" s="59"/>
      <x:c r="JN50" s="59"/>
      <x:c r="JO50" s="59"/>
      <x:c r="JP50" s="59"/>
      <x:c r="JQ50" s="59"/>
      <x:c r="JR50" s="59"/>
      <x:c r="JS50" s="59"/>
      <x:c r="JT50" s="59"/>
      <x:c r="JU50" s="59"/>
      <x:c r="JV50" s="59"/>
      <x:c r="JW50" s="59"/>
      <x:c r="JX50" s="59"/>
      <x:c r="JY50" s="59"/>
      <x:c r="JZ50" s="59"/>
      <x:c r="KA50" s="59"/>
      <x:c r="KB50" s="59"/>
      <x:c r="KC50" s="59"/>
      <x:c r="KD50" s="59"/>
      <x:c r="KE50" s="59"/>
      <x:c r="KF50" s="59"/>
      <x:c r="KG50" s="59"/>
      <x:c r="KH50" s="59"/>
      <x:c r="KI50" s="59"/>
      <x:c r="KJ50" s="59"/>
      <x:c r="KK50" s="59"/>
      <x:c r="KL50" s="59"/>
      <x:c r="KM50" s="59"/>
      <x:c r="KN50" s="59"/>
      <x:c r="KO50" s="59"/>
      <x:c r="KP50" s="59"/>
      <x:c r="KQ50" s="59"/>
      <x:c r="KR50" s="59"/>
      <x:c r="KS50" s="59"/>
      <x:c r="KT50" s="59"/>
      <x:c r="KU50" s="59"/>
      <x:c r="KV50" s="59"/>
      <x:c r="KW50" s="59"/>
      <x:c r="KX50" s="59"/>
      <x:c r="KY50" s="59"/>
      <x:c r="KZ50" s="59"/>
      <x:c r="LA50" s="59"/>
      <x:c r="LB50" s="59"/>
      <x:c r="LC50" s="59"/>
      <x:c r="LD50" s="59"/>
      <x:c r="LE50" s="59"/>
      <x:c r="LF50" s="59"/>
      <x:c r="LG50" s="59"/>
      <x:c r="LH50" s="59"/>
      <x:c r="LI50" s="59"/>
      <x:c r="LJ50" s="59"/>
      <x:c r="LK50" s="59"/>
      <x:c r="LL50" s="59"/>
      <x:c r="LM50" s="59"/>
      <x:c r="LN50" s="59"/>
      <x:c r="LO50" s="59"/>
      <x:c r="LP50" s="59"/>
      <x:c r="LQ50" s="59"/>
      <x:c r="LR50" s="59"/>
      <x:c r="LS50" s="59"/>
      <x:c r="LT50" s="59"/>
      <x:c r="LU50" s="59"/>
      <x:c r="LV50" s="59"/>
      <x:c r="LW50" s="59"/>
      <x:c r="LX50" s="59"/>
      <x:c r="LY50" s="59"/>
      <x:c r="LZ50" s="59"/>
      <x:c r="MA50" s="59"/>
      <x:c r="MB50" s="59"/>
      <x:c r="MC50" s="59"/>
      <x:c r="MD50" s="59"/>
      <x:c r="ME50" s="59"/>
      <x:c r="MF50" s="59"/>
      <x:c r="MG50" s="59"/>
      <x:c r="MH50" s="59"/>
      <x:c r="MI50" s="59"/>
      <x:c r="MJ50" s="59"/>
      <x:c r="MK50" s="59"/>
      <x:c r="ML50" s="59"/>
      <x:c r="MM50" s="59"/>
      <x:c r="MN50" s="59"/>
      <x:c r="MO50" s="59"/>
      <x:c r="MP50" s="59"/>
      <x:c r="MQ50" s="59"/>
      <x:c r="MR50" s="59"/>
      <x:c r="MS50" s="59"/>
      <x:c r="MT50" s="59"/>
      <x:c r="MU50" s="59"/>
      <x:c r="MV50" s="59"/>
      <x:c r="MW50" s="59"/>
      <x:c r="MX50" s="59"/>
      <x:c r="MY50" s="59"/>
      <x:c r="MZ50" s="59"/>
      <x:c r="NA50" s="59"/>
      <x:c r="NB50" s="59"/>
      <x:c r="NC50" s="59"/>
      <x:c r="ND50" s="59"/>
      <x:c r="NE50" s="59"/>
      <x:c r="NF50" s="59"/>
      <x:c r="NG50" s="59"/>
      <x:c r="NH50" s="59"/>
      <x:c r="NI50" s="59"/>
      <x:c r="NJ50" s="59"/>
      <x:c r="NK50" s="59"/>
      <x:c r="NL50" s="59"/>
      <x:c r="NM50" s="59"/>
      <x:c r="NN50" s="59"/>
      <x:c r="NO50" s="59"/>
      <x:c r="NP50" s="59"/>
      <x:c r="NQ50" s="59"/>
      <x:c r="NR50" s="59"/>
      <x:c r="NS50" s="59"/>
      <x:c r="NT50" s="59"/>
      <x:c r="NU50" s="59"/>
      <x:c r="NV50" s="59"/>
      <x:c r="NW50" s="59"/>
      <x:c r="NX50" s="59"/>
      <x:c r="NY50" s="59"/>
      <x:c r="NZ50" s="59"/>
      <x:c r="OA50" s="59"/>
      <x:c r="OB50" s="59"/>
      <x:c r="OC50" s="59"/>
      <x:c r="OD50" s="59"/>
      <x:c r="OE50" s="59"/>
      <x:c r="OF50" s="59"/>
      <x:c r="OG50" s="59"/>
      <x:c r="OH50" s="59"/>
      <x:c r="OI50" s="59"/>
      <x:c r="OJ50" s="59"/>
      <x:c r="OK50" s="59"/>
      <x:c r="OL50" s="59"/>
      <x:c r="OM50" s="59"/>
      <x:c r="ON50" s="59"/>
      <x:c r="OO50" s="59"/>
      <x:c r="OP50" s="59"/>
      <x:c r="OQ50" s="59"/>
      <x:c r="OR50" s="59"/>
      <x:c r="OS50" s="59"/>
      <x:c r="OT50" s="59"/>
      <x:c r="OU50" s="59"/>
      <x:c r="OV50" s="59"/>
      <x:c r="OW50" s="59"/>
      <x:c r="OX50" s="59"/>
      <x:c r="OY50" s="59"/>
      <x:c r="OZ50" s="59"/>
      <x:c r="PA50" s="59"/>
      <x:c r="PB50" s="59"/>
      <x:c r="PC50" s="59"/>
      <x:c r="PD50" s="59"/>
      <x:c r="PE50" s="59"/>
      <x:c r="PF50" s="59"/>
      <x:c r="PG50" s="59"/>
      <x:c r="PH50" s="59"/>
      <x:c r="PI50" s="59"/>
      <x:c r="PJ50" s="59"/>
      <x:c r="PK50" s="59"/>
      <x:c r="PL50" s="59"/>
      <x:c r="PM50" s="59"/>
      <x:c r="PN50" s="59"/>
      <x:c r="PO50" s="59"/>
      <x:c r="PP50" s="59"/>
      <x:c r="PQ50" s="59"/>
      <x:c r="PR50" s="59"/>
      <x:c r="PS50" s="59"/>
      <x:c r="PT50" s="59"/>
      <x:c r="PU50" s="59"/>
      <x:c r="PV50" s="59"/>
      <x:c r="PW50" s="59"/>
      <x:c r="PX50" s="59"/>
      <x:c r="PY50" s="59"/>
      <x:c r="PZ50" s="59"/>
      <x:c r="QA50" s="59"/>
      <x:c r="QB50" s="59"/>
      <x:c r="QC50" s="59"/>
      <x:c r="QD50" s="59"/>
      <x:c r="QE50" s="59"/>
      <x:c r="QF50" s="59"/>
      <x:c r="QG50" s="59"/>
      <x:c r="QH50" s="59"/>
      <x:c r="QI50" s="59"/>
      <x:c r="QJ50" s="59"/>
      <x:c r="QK50" s="59"/>
      <x:c r="QL50" s="59"/>
      <x:c r="QM50" s="59"/>
      <x:c r="QN50" s="59"/>
      <x:c r="QO50" s="59"/>
      <x:c r="QP50" s="59"/>
      <x:c r="QQ50" s="59"/>
      <x:c r="QR50" s="59"/>
      <x:c r="QS50" s="59"/>
      <x:c r="QT50" s="59"/>
      <x:c r="QU50" s="59"/>
      <x:c r="QV50" s="59"/>
      <x:c r="QW50" s="59"/>
      <x:c r="QX50" s="59"/>
      <x:c r="QY50" s="59"/>
      <x:c r="QZ50" s="59"/>
      <x:c r="RA50" s="59"/>
      <x:c r="RB50" s="59"/>
      <x:c r="RC50" s="59"/>
      <x:c r="RD50" s="59"/>
      <x:c r="RE50" s="59"/>
      <x:c r="RF50" s="59"/>
      <x:c r="RG50" s="59"/>
      <x:c r="RH50" s="59"/>
      <x:c r="RI50" s="59"/>
      <x:c r="RJ50" s="59"/>
      <x:c r="RK50" s="59"/>
      <x:c r="RL50" s="59"/>
      <x:c r="RM50" s="59"/>
      <x:c r="RN50" s="59"/>
      <x:c r="RO50" s="59"/>
      <x:c r="RP50" s="59"/>
      <x:c r="RQ50" s="59"/>
      <x:c r="RR50" s="59"/>
      <x:c r="RS50" s="59"/>
      <x:c r="RT50" s="59"/>
      <x:c r="RU50" s="59"/>
      <x:c r="RV50" s="59"/>
      <x:c r="RW50" s="59"/>
      <x:c r="RX50" s="59"/>
      <x:c r="RY50" s="59"/>
      <x:c r="RZ50" s="59"/>
      <x:c r="SA50" s="59"/>
      <x:c r="SB50" s="59"/>
      <x:c r="SC50" s="59"/>
      <x:c r="SD50" s="59"/>
      <x:c r="SE50" s="59"/>
      <x:c r="SF50" s="59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  <x:c r="AA51" s="59"/>
      <x:c r="AB51" s="59"/>
      <x:c r="AC51" s="59"/>
      <x:c r="AD51" s="59"/>
      <x:c r="AE51" s="59"/>
      <x:c r="AF51" s="59"/>
      <x:c r="AG51" s="59"/>
      <x:c r="AH51" s="59"/>
      <x:c r="AI51" s="59"/>
      <x:c r="AJ51" s="59"/>
      <x:c r="AK51" s="59"/>
      <x:c r="AL51" s="59"/>
      <x:c r="AM51" s="59"/>
      <x:c r="AN51" s="59"/>
      <x:c r="AO51" s="59"/>
      <x:c r="AP51" s="59"/>
      <x:c r="AQ51" s="59"/>
      <x:c r="AR51" s="59"/>
      <x:c r="AS51" s="59"/>
      <x:c r="AT51" s="59"/>
      <x:c r="AU51" s="59"/>
      <x:c r="AV51" s="59"/>
      <x:c r="AW51" s="59"/>
      <x:c r="AX51" s="59"/>
      <x:c r="AY51" s="59"/>
      <x:c r="AZ51" s="59"/>
      <x:c r="BA51" s="59"/>
      <x:c r="BB51" s="59"/>
      <x:c r="BC51" s="59"/>
      <x:c r="BD51" s="59"/>
      <x:c r="BE51" s="59"/>
      <x:c r="BF51" s="59"/>
      <x:c r="BG51" s="59"/>
      <x:c r="BH51" s="59"/>
      <x:c r="BI51" s="59"/>
      <x:c r="BJ51" s="59"/>
      <x:c r="BK51" s="59"/>
      <x:c r="BL51" s="59"/>
      <x:c r="BM51" s="59"/>
      <x:c r="BN51" s="59"/>
      <x:c r="BO51" s="59"/>
      <x:c r="BP51" s="59"/>
      <x:c r="BQ51" s="59"/>
      <x:c r="BR51" s="59"/>
      <x:c r="BS51" s="59"/>
      <x:c r="BT51" s="59"/>
      <x:c r="BU51" s="59"/>
      <x:c r="BV51" s="59"/>
      <x:c r="BW51" s="59"/>
      <x:c r="BX51" s="59"/>
      <x:c r="BY51" s="59"/>
      <x:c r="BZ51" s="59"/>
      <x:c r="CA51" s="59"/>
      <x:c r="CB51" s="59"/>
      <x:c r="CC51" s="59"/>
      <x:c r="CD51" s="59"/>
      <x:c r="CE51" s="59"/>
      <x:c r="CF51" s="59"/>
      <x:c r="CG51" s="59"/>
      <x:c r="CH51" s="59"/>
      <x:c r="CI51" s="59"/>
      <x:c r="CJ51" s="59"/>
      <x:c r="CK51" s="59"/>
      <x:c r="CL51" s="59"/>
      <x:c r="CM51" s="59"/>
      <x:c r="CN51" s="59"/>
      <x:c r="CO51" s="59"/>
      <x:c r="CP51" s="59"/>
      <x:c r="CQ51" s="59"/>
      <x:c r="CR51" s="59"/>
      <x:c r="CS51" s="59"/>
      <x:c r="CT51" s="59"/>
      <x:c r="CU51" s="59"/>
      <x:c r="CV51" s="59"/>
      <x:c r="CW51" s="59"/>
      <x:c r="CX51" s="59"/>
      <x:c r="CY51" s="59"/>
      <x:c r="CZ51" s="59"/>
      <x:c r="DA51" s="59"/>
      <x:c r="DB51" s="59"/>
      <x:c r="DC51" s="59"/>
      <x:c r="DD51" s="59"/>
      <x:c r="DE51" s="59"/>
      <x:c r="DF51" s="59"/>
      <x:c r="DG51" s="59"/>
      <x:c r="DH51" s="59"/>
      <x:c r="DI51" s="59"/>
      <x:c r="DJ51" s="59"/>
      <x:c r="DK51" s="59"/>
      <x:c r="DL51" s="59"/>
      <x:c r="DM51" s="59"/>
      <x:c r="DN51" s="59"/>
      <x:c r="DO51" s="59"/>
      <x:c r="DP51" s="59"/>
      <x:c r="DQ51" s="59"/>
      <x:c r="DR51" s="59"/>
      <x:c r="DS51" s="59"/>
      <x:c r="DT51" s="59"/>
      <x:c r="DU51" s="59"/>
      <x:c r="DV51" s="59"/>
      <x:c r="DW51" s="59"/>
      <x:c r="DX51" s="59"/>
      <x:c r="DY51" s="59"/>
      <x:c r="DZ51" s="59"/>
      <x:c r="EA51" s="59"/>
      <x:c r="EB51" s="59"/>
      <x:c r="EC51" s="59"/>
      <x:c r="ED51" s="59"/>
      <x:c r="EE51" s="59"/>
      <x:c r="EF51" s="59"/>
      <x:c r="EG51" s="59"/>
      <x:c r="EH51" s="59"/>
      <x:c r="EI51" s="59"/>
      <x:c r="EJ51" s="59"/>
      <x:c r="EK51" s="59"/>
      <x:c r="EL51" s="59"/>
      <x:c r="EM51" s="59"/>
      <x:c r="EN51" s="59"/>
      <x:c r="EO51" s="59"/>
      <x:c r="EP51" s="59"/>
      <x:c r="EQ51" s="59"/>
      <x:c r="ER51" s="59"/>
      <x:c r="ES51" s="59"/>
      <x:c r="ET51" s="59"/>
      <x:c r="EU51" s="59"/>
      <x:c r="EV51" s="59"/>
      <x:c r="EW51" s="59"/>
      <x:c r="EX51" s="59"/>
      <x:c r="EY51" s="59"/>
      <x:c r="EZ51" s="59"/>
      <x:c r="FA51" s="59"/>
      <x:c r="FB51" s="59"/>
      <x:c r="FC51" s="59"/>
      <x:c r="FD51" s="59"/>
      <x:c r="FE51" s="59"/>
      <x:c r="FF51" s="59"/>
      <x:c r="FG51" s="59"/>
      <x:c r="FH51" s="59"/>
      <x:c r="FI51" s="59"/>
      <x:c r="FJ51" s="59"/>
      <x:c r="FK51" s="59"/>
      <x:c r="FL51" s="59"/>
      <x:c r="FM51" s="59"/>
      <x:c r="FN51" s="59"/>
      <x:c r="FO51" s="59"/>
      <x:c r="FP51" s="59"/>
      <x:c r="FQ51" s="59"/>
      <x:c r="FR51" s="59"/>
      <x:c r="FS51" s="59"/>
      <x:c r="FT51" s="59"/>
      <x:c r="FU51" s="59"/>
      <x:c r="FV51" s="59"/>
      <x:c r="FW51" s="59"/>
      <x:c r="FX51" s="59"/>
      <x:c r="FY51" s="59"/>
      <x:c r="FZ51" s="59"/>
      <x:c r="GA51" s="59"/>
      <x:c r="GB51" s="59"/>
      <x:c r="GC51" s="59"/>
      <x:c r="GD51" s="59"/>
      <x:c r="GE51" s="59"/>
      <x:c r="GF51" s="59"/>
      <x:c r="GG51" s="59"/>
      <x:c r="GH51" s="59"/>
      <x:c r="GI51" s="59"/>
      <x:c r="GJ51" s="59"/>
      <x:c r="GK51" s="59"/>
      <x:c r="GL51" s="59"/>
      <x:c r="GM51" s="59"/>
      <x:c r="GN51" s="59"/>
      <x:c r="GO51" s="59"/>
      <x:c r="GP51" s="59"/>
      <x:c r="GQ51" s="59"/>
      <x:c r="GR51" s="59"/>
      <x:c r="GS51" s="59"/>
      <x:c r="GT51" s="59"/>
      <x:c r="GU51" s="59"/>
      <x:c r="GV51" s="59"/>
      <x:c r="GW51" s="59"/>
      <x:c r="GX51" s="59"/>
      <x:c r="GY51" s="59"/>
      <x:c r="GZ51" s="59"/>
      <x:c r="HA51" s="59"/>
      <x:c r="HB51" s="59"/>
      <x:c r="HC51" s="59"/>
      <x:c r="HD51" s="59"/>
      <x:c r="HE51" s="59"/>
      <x:c r="HF51" s="59"/>
      <x:c r="HG51" s="59"/>
      <x:c r="HH51" s="59"/>
      <x:c r="HI51" s="59"/>
      <x:c r="HJ51" s="59"/>
      <x:c r="HK51" s="59"/>
      <x:c r="HL51" s="59"/>
      <x:c r="HM51" s="59"/>
      <x:c r="HN51" s="59"/>
      <x:c r="HO51" s="59"/>
      <x:c r="HP51" s="59"/>
      <x:c r="HQ51" s="59"/>
      <x:c r="HR51" s="59"/>
      <x:c r="HS51" s="59"/>
      <x:c r="HT51" s="59"/>
      <x:c r="HU51" s="59"/>
      <x:c r="HV51" s="59"/>
      <x:c r="HW51" s="59"/>
      <x:c r="HX51" s="59"/>
      <x:c r="HY51" s="59"/>
      <x:c r="HZ51" s="59"/>
      <x:c r="IA51" s="59"/>
      <x:c r="IB51" s="59"/>
      <x:c r="IC51" s="59"/>
      <x:c r="ID51" s="59"/>
      <x:c r="IE51" s="59"/>
      <x:c r="IF51" s="59"/>
      <x:c r="IG51" s="59"/>
      <x:c r="IH51" s="59"/>
      <x:c r="II51" s="59"/>
      <x:c r="IJ51" s="59"/>
      <x:c r="IK51" s="59"/>
      <x:c r="IL51" s="59"/>
      <x:c r="IM51" s="59"/>
      <x:c r="IN51" s="59"/>
      <x:c r="IO51" s="59"/>
      <x:c r="IP51" s="59"/>
      <x:c r="IQ51" s="59"/>
      <x:c r="IR51" s="59"/>
      <x:c r="IS51" s="59"/>
      <x:c r="IT51" s="59"/>
      <x:c r="IU51" s="59"/>
      <x:c r="IV51" s="59"/>
      <x:c r="IW51" s="59"/>
      <x:c r="IX51" s="59"/>
      <x:c r="IY51" s="59"/>
      <x:c r="IZ51" s="59"/>
      <x:c r="JA51" s="59"/>
      <x:c r="JB51" s="59"/>
      <x:c r="JC51" s="59"/>
      <x:c r="JD51" s="59"/>
      <x:c r="JE51" s="59"/>
      <x:c r="JF51" s="59"/>
      <x:c r="JG51" s="59"/>
      <x:c r="JH51" s="59"/>
      <x:c r="JI51" s="59"/>
      <x:c r="JJ51" s="59"/>
      <x:c r="JK51" s="59"/>
      <x:c r="JL51" s="59"/>
      <x:c r="JM51" s="59"/>
      <x:c r="JN51" s="59"/>
      <x:c r="JO51" s="59"/>
      <x:c r="JP51" s="59"/>
      <x:c r="JQ51" s="59"/>
      <x:c r="JR51" s="59"/>
      <x:c r="JS51" s="59"/>
      <x:c r="JT51" s="59"/>
      <x:c r="JU51" s="59"/>
      <x:c r="JV51" s="59"/>
      <x:c r="JW51" s="59"/>
      <x:c r="JX51" s="59"/>
      <x:c r="JY51" s="59"/>
      <x:c r="JZ51" s="59"/>
      <x:c r="KA51" s="59"/>
      <x:c r="KB51" s="59"/>
      <x:c r="KC51" s="59"/>
      <x:c r="KD51" s="59"/>
      <x:c r="KE51" s="59"/>
      <x:c r="KF51" s="59"/>
      <x:c r="KG51" s="59"/>
      <x:c r="KH51" s="59"/>
      <x:c r="KI51" s="59"/>
      <x:c r="KJ51" s="59"/>
      <x:c r="KK51" s="59"/>
      <x:c r="KL51" s="59"/>
      <x:c r="KM51" s="59"/>
      <x:c r="KN51" s="59"/>
      <x:c r="KO51" s="59"/>
      <x:c r="KP51" s="59"/>
      <x:c r="KQ51" s="59"/>
      <x:c r="KR51" s="59"/>
      <x:c r="KS51" s="59"/>
      <x:c r="KT51" s="59"/>
      <x:c r="KU51" s="59"/>
      <x:c r="KV51" s="59"/>
      <x:c r="KW51" s="59"/>
      <x:c r="KX51" s="59"/>
      <x:c r="KY51" s="59"/>
      <x:c r="KZ51" s="59"/>
      <x:c r="LA51" s="59"/>
      <x:c r="LB51" s="59"/>
      <x:c r="LC51" s="59"/>
      <x:c r="LD51" s="59"/>
      <x:c r="LE51" s="59"/>
      <x:c r="LF51" s="59"/>
      <x:c r="LG51" s="59"/>
      <x:c r="LH51" s="59"/>
      <x:c r="LI51" s="59"/>
      <x:c r="LJ51" s="59"/>
      <x:c r="LK51" s="59"/>
      <x:c r="LL51" s="59"/>
      <x:c r="LM51" s="59"/>
      <x:c r="LN51" s="59"/>
      <x:c r="LO51" s="59"/>
      <x:c r="LP51" s="59"/>
      <x:c r="LQ51" s="59"/>
      <x:c r="LR51" s="59"/>
      <x:c r="LS51" s="59"/>
      <x:c r="LT51" s="59"/>
      <x:c r="LU51" s="59"/>
      <x:c r="LV51" s="59"/>
      <x:c r="LW51" s="59"/>
      <x:c r="LX51" s="59"/>
      <x:c r="LY51" s="59"/>
      <x:c r="LZ51" s="59"/>
      <x:c r="MA51" s="59"/>
      <x:c r="MB51" s="59"/>
      <x:c r="MC51" s="59"/>
      <x:c r="MD51" s="59"/>
      <x:c r="ME51" s="59"/>
      <x:c r="MF51" s="59"/>
      <x:c r="MG51" s="59"/>
      <x:c r="MH51" s="59"/>
      <x:c r="MI51" s="59"/>
      <x:c r="MJ51" s="59"/>
      <x:c r="MK51" s="59"/>
      <x:c r="ML51" s="59"/>
      <x:c r="MM51" s="59"/>
      <x:c r="MN51" s="59"/>
      <x:c r="MO51" s="59"/>
      <x:c r="MP51" s="59"/>
      <x:c r="MQ51" s="59"/>
      <x:c r="MR51" s="59"/>
      <x:c r="MS51" s="59"/>
      <x:c r="MT51" s="59"/>
      <x:c r="MU51" s="59"/>
      <x:c r="MV51" s="59"/>
      <x:c r="MW51" s="59"/>
      <x:c r="MX51" s="59"/>
      <x:c r="MY51" s="59"/>
      <x:c r="MZ51" s="59"/>
      <x:c r="NA51" s="59"/>
      <x:c r="NB51" s="59"/>
      <x:c r="NC51" s="59"/>
      <x:c r="ND51" s="59"/>
      <x:c r="NE51" s="59"/>
      <x:c r="NF51" s="59"/>
      <x:c r="NG51" s="59"/>
      <x:c r="NH51" s="59"/>
      <x:c r="NI51" s="59"/>
      <x:c r="NJ51" s="59"/>
      <x:c r="NK51" s="59"/>
      <x:c r="NL51" s="59"/>
      <x:c r="NM51" s="59"/>
      <x:c r="NN51" s="59"/>
      <x:c r="NO51" s="59"/>
      <x:c r="NP51" s="59"/>
      <x:c r="NQ51" s="59"/>
      <x:c r="NR51" s="59"/>
      <x:c r="NS51" s="59"/>
      <x:c r="NT51" s="59"/>
      <x:c r="NU51" s="59"/>
      <x:c r="NV51" s="59"/>
      <x:c r="NW51" s="59"/>
      <x:c r="NX51" s="59"/>
      <x:c r="NY51" s="59"/>
      <x:c r="NZ51" s="59"/>
      <x:c r="OA51" s="59"/>
      <x:c r="OB51" s="59"/>
      <x:c r="OC51" s="59"/>
      <x:c r="OD51" s="59"/>
      <x:c r="OE51" s="59"/>
      <x:c r="OF51" s="59"/>
      <x:c r="OG51" s="59"/>
      <x:c r="OH51" s="59"/>
      <x:c r="OI51" s="59"/>
      <x:c r="OJ51" s="59"/>
      <x:c r="OK51" s="59"/>
      <x:c r="OL51" s="59"/>
      <x:c r="OM51" s="59"/>
      <x:c r="ON51" s="59"/>
      <x:c r="OO51" s="59"/>
      <x:c r="OP51" s="59"/>
      <x:c r="OQ51" s="59"/>
      <x:c r="OR51" s="59"/>
      <x:c r="OS51" s="59"/>
      <x:c r="OT51" s="59"/>
      <x:c r="OU51" s="59"/>
      <x:c r="OV51" s="59"/>
      <x:c r="OW51" s="59"/>
      <x:c r="OX51" s="59"/>
      <x:c r="OY51" s="59"/>
      <x:c r="OZ51" s="59"/>
      <x:c r="PA51" s="59"/>
      <x:c r="PB51" s="59"/>
      <x:c r="PC51" s="59"/>
      <x:c r="PD51" s="59"/>
      <x:c r="PE51" s="59"/>
      <x:c r="PF51" s="59"/>
      <x:c r="PG51" s="59"/>
      <x:c r="PH51" s="59"/>
      <x:c r="PI51" s="59"/>
      <x:c r="PJ51" s="59"/>
      <x:c r="PK51" s="59"/>
      <x:c r="PL51" s="59"/>
      <x:c r="PM51" s="59"/>
      <x:c r="PN51" s="59"/>
      <x:c r="PO51" s="59"/>
      <x:c r="PP51" s="59"/>
      <x:c r="PQ51" s="59"/>
      <x:c r="PR51" s="59"/>
      <x:c r="PS51" s="59"/>
      <x:c r="PT51" s="59"/>
      <x:c r="PU51" s="59"/>
      <x:c r="PV51" s="59"/>
      <x:c r="PW51" s="59"/>
      <x:c r="PX51" s="59"/>
      <x:c r="PY51" s="59"/>
      <x:c r="PZ51" s="59"/>
      <x:c r="QA51" s="59"/>
      <x:c r="QB51" s="59"/>
      <x:c r="QC51" s="59"/>
      <x:c r="QD51" s="59"/>
      <x:c r="QE51" s="59"/>
      <x:c r="QF51" s="59"/>
      <x:c r="QG51" s="59"/>
      <x:c r="QH51" s="59"/>
      <x:c r="QI51" s="59"/>
      <x:c r="QJ51" s="59"/>
      <x:c r="QK51" s="59"/>
      <x:c r="QL51" s="59"/>
      <x:c r="QM51" s="59"/>
      <x:c r="QN51" s="59"/>
      <x:c r="QO51" s="59"/>
      <x:c r="QP51" s="59"/>
      <x:c r="QQ51" s="59"/>
      <x:c r="QR51" s="59"/>
      <x:c r="QS51" s="59"/>
      <x:c r="QT51" s="59"/>
      <x:c r="QU51" s="59"/>
      <x:c r="QV51" s="59"/>
      <x:c r="QW51" s="59"/>
      <x:c r="QX51" s="59"/>
      <x:c r="QY51" s="59"/>
      <x:c r="QZ51" s="59"/>
      <x:c r="RA51" s="59"/>
      <x:c r="RB51" s="59"/>
      <x:c r="RC51" s="59"/>
      <x:c r="RD51" s="59"/>
      <x:c r="RE51" s="59"/>
      <x:c r="RF51" s="59"/>
      <x:c r="RG51" s="59"/>
      <x:c r="RH51" s="59"/>
      <x:c r="RI51" s="59"/>
      <x:c r="RJ51" s="59"/>
      <x:c r="RK51" s="59"/>
      <x:c r="RL51" s="59"/>
      <x:c r="RM51" s="59"/>
      <x:c r="RN51" s="59"/>
      <x:c r="RO51" s="59"/>
      <x:c r="RP51" s="59"/>
      <x:c r="RQ51" s="59"/>
      <x:c r="RR51" s="59"/>
      <x:c r="RS51" s="59"/>
      <x:c r="RT51" s="59"/>
      <x:c r="RU51" s="59"/>
      <x:c r="RV51" s="59"/>
      <x:c r="RW51" s="59"/>
      <x:c r="RX51" s="59"/>
      <x:c r="RY51" s="59"/>
      <x:c r="RZ51" s="59"/>
      <x:c r="SA51" s="59"/>
      <x:c r="SB51" s="59"/>
      <x:c r="SC51" s="59"/>
      <x:c r="SD51" s="59"/>
      <x:c r="SE51" s="59"/>
      <x:c r="SF51" s="59"/>
    </x:row>
    <x:row r="52">
      <x:c r="A52" s="64" t="s">
        <x:v>108</x:v>
      </x:c>
      <x:c r="B52" s="65" t="s">
        <x:v>109</x:v>
      </x:c>
      <x:c r="C52" s="65"/>
      <x:c r="D52" s="65" t="s">
        <x:v>52</x:v>
      </x:c>
      <x:c r="E52" s="65"/>
      <x:c r="F52" s="65"/>
      <x:c r="G52" s="65" t="s">
        <x:v>110</x:v>
      </x:c>
      <x:c r="H52" s="65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  <x:c r="AA52" s="59"/>
      <x:c r="AB52" s="59"/>
      <x:c r="AC52" s="59"/>
      <x:c r="AD52" s="59"/>
      <x:c r="AE52" s="59"/>
      <x:c r="AF52" s="59"/>
      <x:c r="AG52" s="59"/>
      <x:c r="AH52" s="59"/>
      <x:c r="AI52" s="59"/>
      <x:c r="AJ52" s="59"/>
      <x:c r="AK52" s="59"/>
      <x:c r="AL52" s="59"/>
      <x:c r="AM52" s="59"/>
      <x:c r="AN52" s="59"/>
      <x:c r="AO52" s="59"/>
      <x:c r="AP52" s="59"/>
      <x:c r="AQ52" s="59"/>
      <x:c r="AR52" s="59"/>
      <x:c r="AS52" s="59"/>
      <x:c r="AT52" s="59"/>
      <x:c r="AU52" s="59"/>
      <x:c r="AV52" s="59"/>
      <x:c r="AW52" s="59"/>
      <x:c r="AX52" s="59"/>
      <x:c r="AY52" s="59"/>
      <x:c r="AZ52" s="59"/>
      <x:c r="BA52" s="59"/>
      <x:c r="BB52" s="59"/>
      <x:c r="BC52" s="59"/>
      <x:c r="BD52" s="59"/>
      <x:c r="BE52" s="59"/>
      <x:c r="BF52" s="59"/>
      <x:c r="BG52" s="59"/>
      <x:c r="BH52" s="59"/>
      <x:c r="BI52" s="59"/>
      <x:c r="BJ52" s="59"/>
      <x:c r="BK52" s="59"/>
      <x:c r="BL52" s="59"/>
      <x:c r="BM52" s="59"/>
      <x:c r="BN52" s="59"/>
      <x:c r="BO52" s="59"/>
      <x:c r="BP52" s="59"/>
      <x:c r="BQ52" s="59"/>
      <x:c r="BR52" s="59"/>
      <x:c r="BS52" s="59"/>
      <x:c r="BT52" s="59"/>
      <x:c r="BU52" s="59"/>
      <x:c r="BV52" s="59"/>
      <x:c r="BW52" s="59"/>
      <x:c r="BX52" s="59"/>
      <x:c r="BY52" s="59"/>
      <x:c r="BZ52" s="59"/>
      <x:c r="CA52" s="59"/>
      <x:c r="CB52" s="59"/>
      <x:c r="CC52" s="59"/>
      <x:c r="CD52" s="59"/>
      <x:c r="CE52" s="59"/>
      <x:c r="CF52" s="59"/>
      <x:c r="CG52" s="59"/>
      <x:c r="CH52" s="59"/>
      <x:c r="CI52" s="59"/>
      <x:c r="CJ52" s="59"/>
      <x:c r="CK52" s="59"/>
      <x:c r="CL52" s="59"/>
      <x:c r="CM52" s="59"/>
      <x:c r="CN52" s="59"/>
      <x:c r="CO52" s="59"/>
      <x:c r="CP52" s="59"/>
      <x:c r="CQ52" s="59"/>
      <x:c r="CR52" s="59"/>
      <x:c r="CS52" s="59"/>
      <x:c r="CT52" s="59"/>
      <x:c r="CU52" s="59"/>
      <x:c r="CV52" s="59"/>
      <x:c r="CW52" s="59"/>
      <x:c r="CX52" s="59"/>
      <x:c r="CY52" s="59"/>
      <x:c r="CZ52" s="59"/>
      <x:c r="DA52" s="59"/>
      <x:c r="DB52" s="59"/>
      <x:c r="DC52" s="59"/>
      <x:c r="DD52" s="59"/>
      <x:c r="DE52" s="59"/>
      <x:c r="DF52" s="59"/>
      <x:c r="DG52" s="59"/>
      <x:c r="DH52" s="59"/>
      <x:c r="DI52" s="59"/>
      <x:c r="DJ52" s="59"/>
      <x:c r="DK52" s="59"/>
      <x:c r="DL52" s="59"/>
      <x:c r="DM52" s="59"/>
      <x:c r="DN52" s="59"/>
      <x:c r="DO52" s="59"/>
      <x:c r="DP52" s="59"/>
      <x:c r="DQ52" s="59"/>
      <x:c r="DR52" s="59"/>
      <x:c r="DS52" s="59"/>
      <x:c r="DT52" s="59"/>
      <x:c r="DU52" s="59"/>
      <x:c r="DV52" s="59"/>
      <x:c r="DW52" s="59"/>
      <x:c r="DX52" s="59"/>
      <x:c r="DY52" s="59"/>
      <x:c r="DZ52" s="59"/>
      <x:c r="EA52" s="59"/>
      <x:c r="EB52" s="59"/>
      <x:c r="EC52" s="59"/>
      <x:c r="ED52" s="59"/>
      <x:c r="EE52" s="59"/>
      <x:c r="EF52" s="59"/>
      <x:c r="EG52" s="59"/>
      <x:c r="EH52" s="59"/>
      <x:c r="EI52" s="59"/>
      <x:c r="EJ52" s="59"/>
      <x:c r="EK52" s="59"/>
      <x:c r="EL52" s="59"/>
      <x:c r="EM52" s="59"/>
      <x:c r="EN52" s="59"/>
      <x:c r="EO52" s="59"/>
      <x:c r="EP52" s="59"/>
      <x:c r="EQ52" s="59"/>
      <x:c r="ER52" s="59"/>
      <x:c r="ES52" s="59"/>
      <x:c r="ET52" s="59"/>
      <x:c r="EU52" s="59"/>
      <x:c r="EV52" s="59"/>
      <x:c r="EW52" s="59"/>
      <x:c r="EX52" s="59"/>
      <x:c r="EY52" s="59"/>
      <x:c r="EZ52" s="59"/>
      <x:c r="FA52" s="59"/>
      <x:c r="FB52" s="59"/>
      <x:c r="FC52" s="59"/>
      <x:c r="FD52" s="59"/>
      <x:c r="FE52" s="59"/>
      <x:c r="FF52" s="59"/>
      <x:c r="FG52" s="59"/>
      <x:c r="FH52" s="59"/>
      <x:c r="FI52" s="59"/>
      <x:c r="FJ52" s="59"/>
      <x:c r="FK52" s="59"/>
      <x:c r="FL52" s="59"/>
      <x:c r="FM52" s="59"/>
      <x:c r="FN52" s="59"/>
      <x:c r="FO52" s="59"/>
      <x:c r="FP52" s="59"/>
      <x:c r="FQ52" s="59"/>
      <x:c r="FR52" s="59"/>
      <x:c r="FS52" s="59"/>
      <x:c r="FT52" s="59"/>
      <x:c r="FU52" s="59"/>
      <x:c r="FV52" s="59"/>
      <x:c r="FW52" s="59"/>
      <x:c r="FX52" s="59"/>
      <x:c r="FY52" s="59"/>
      <x:c r="FZ52" s="59"/>
      <x:c r="GA52" s="59"/>
      <x:c r="GB52" s="59"/>
      <x:c r="GC52" s="59"/>
      <x:c r="GD52" s="59"/>
      <x:c r="GE52" s="59"/>
      <x:c r="GF52" s="59"/>
      <x:c r="GG52" s="59"/>
      <x:c r="GH52" s="59"/>
      <x:c r="GI52" s="59"/>
      <x:c r="GJ52" s="59"/>
      <x:c r="GK52" s="59"/>
      <x:c r="GL52" s="59"/>
      <x:c r="GM52" s="59"/>
      <x:c r="GN52" s="59"/>
      <x:c r="GO52" s="59"/>
      <x:c r="GP52" s="59"/>
      <x:c r="GQ52" s="59"/>
      <x:c r="GR52" s="59"/>
      <x:c r="GS52" s="59"/>
      <x:c r="GT52" s="59"/>
      <x:c r="GU52" s="59"/>
      <x:c r="GV52" s="59"/>
      <x:c r="GW52" s="59"/>
      <x:c r="GX52" s="59"/>
      <x:c r="GY52" s="59"/>
      <x:c r="GZ52" s="59"/>
      <x:c r="HA52" s="59"/>
      <x:c r="HB52" s="59"/>
      <x:c r="HC52" s="59"/>
      <x:c r="HD52" s="59"/>
      <x:c r="HE52" s="59"/>
      <x:c r="HF52" s="59"/>
      <x:c r="HG52" s="59"/>
      <x:c r="HH52" s="59"/>
      <x:c r="HI52" s="59"/>
      <x:c r="HJ52" s="59"/>
      <x:c r="HK52" s="59"/>
      <x:c r="HL52" s="59"/>
      <x:c r="HM52" s="59"/>
      <x:c r="HN52" s="59"/>
      <x:c r="HO52" s="59"/>
      <x:c r="HP52" s="59"/>
      <x:c r="HQ52" s="59"/>
      <x:c r="HR52" s="59"/>
      <x:c r="HS52" s="59"/>
      <x:c r="HT52" s="59"/>
      <x:c r="HU52" s="59"/>
      <x:c r="HV52" s="59"/>
      <x:c r="HW52" s="59"/>
      <x:c r="HX52" s="59"/>
      <x:c r="HY52" s="59"/>
      <x:c r="HZ52" s="59"/>
      <x:c r="IA52" s="59"/>
      <x:c r="IB52" s="59"/>
      <x:c r="IC52" s="59"/>
      <x:c r="ID52" s="59"/>
      <x:c r="IE52" s="59"/>
      <x:c r="IF52" s="59"/>
      <x:c r="IG52" s="59"/>
      <x:c r="IH52" s="59"/>
      <x:c r="II52" s="59"/>
      <x:c r="IJ52" s="59"/>
      <x:c r="IK52" s="59"/>
      <x:c r="IL52" s="59"/>
      <x:c r="IM52" s="59"/>
      <x:c r="IN52" s="59"/>
      <x:c r="IO52" s="59"/>
      <x:c r="IP52" s="59"/>
      <x:c r="IQ52" s="59"/>
      <x:c r="IR52" s="59"/>
      <x:c r="IS52" s="59"/>
      <x:c r="IT52" s="59"/>
      <x:c r="IU52" s="59"/>
      <x:c r="IV52" s="59"/>
      <x:c r="IW52" s="59"/>
      <x:c r="IX52" s="59"/>
      <x:c r="IY52" s="59"/>
      <x:c r="IZ52" s="59"/>
      <x:c r="JA52" s="59"/>
      <x:c r="JB52" s="59"/>
      <x:c r="JC52" s="59"/>
      <x:c r="JD52" s="59"/>
      <x:c r="JE52" s="59"/>
      <x:c r="JF52" s="59"/>
      <x:c r="JG52" s="59"/>
      <x:c r="JH52" s="59"/>
      <x:c r="JI52" s="59"/>
      <x:c r="JJ52" s="59"/>
      <x:c r="JK52" s="59"/>
      <x:c r="JL52" s="59"/>
      <x:c r="JM52" s="59"/>
      <x:c r="JN52" s="59"/>
      <x:c r="JO52" s="59"/>
      <x:c r="JP52" s="59"/>
      <x:c r="JQ52" s="59"/>
      <x:c r="JR52" s="59"/>
      <x:c r="JS52" s="59"/>
      <x:c r="JT52" s="59"/>
      <x:c r="JU52" s="59"/>
      <x:c r="JV52" s="59"/>
      <x:c r="JW52" s="59"/>
      <x:c r="JX52" s="59"/>
      <x:c r="JY52" s="59"/>
      <x:c r="JZ52" s="59"/>
      <x:c r="KA52" s="59"/>
      <x:c r="KB52" s="59"/>
      <x:c r="KC52" s="59"/>
      <x:c r="KD52" s="59"/>
      <x:c r="KE52" s="59"/>
      <x:c r="KF52" s="59"/>
      <x:c r="KG52" s="59"/>
      <x:c r="KH52" s="59"/>
      <x:c r="KI52" s="59"/>
      <x:c r="KJ52" s="59"/>
      <x:c r="KK52" s="59"/>
      <x:c r="KL52" s="59"/>
      <x:c r="KM52" s="59"/>
      <x:c r="KN52" s="59"/>
      <x:c r="KO52" s="59"/>
      <x:c r="KP52" s="59"/>
      <x:c r="KQ52" s="59"/>
      <x:c r="KR52" s="59"/>
      <x:c r="KS52" s="59"/>
      <x:c r="KT52" s="59"/>
      <x:c r="KU52" s="59"/>
      <x:c r="KV52" s="59"/>
      <x:c r="KW52" s="59"/>
      <x:c r="KX52" s="59"/>
      <x:c r="KY52" s="59"/>
      <x:c r="KZ52" s="59"/>
      <x:c r="LA52" s="59"/>
      <x:c r="LB52" s="59"/>
      <x:c r="LC52" s="59"/>
      <x:c r="LD52" s="59"/>
      <x:c r="LE52" s="59"/>
      <x:c r="LF52" s="59"/>
      <x:c r="LG52" s="59"/>
      <x:c r="LH52" s="59"/>
      <x:c r="LI52" s="59"/>
      <x:c r="LJ52" s="59"/>
      <x:c r="LK52" s="59"/>
      <x:c r="LL52" s="59"/>
      <x:c r="LM52" s="59"/>
      <x:c r="LN52" s="59"/>
      <x:c r="LO52" s="59"/>
      <x:c r="LP52" s="59"/>
      <x:c r="LQ52" s="59"/>
      <x:c r="LR52" s="59"/>
      <x:c r="LS52" s="59"/>
      <x:c r="LT52" s="59"/>
      <x:c r="LU52" s="59"/>
      <x:c r="LV52" s="59"/>
      <x:c r="LW52" s="59"/>
      <x:c r="LX52" s="59"/>
      <x:c r="LY52" s="59"/>
      <x:c r="LZ52" s="59"/>
      <x:c r="MA52" s="59"/>
      <x:c r="MB52" s="59"/>
      <x:c r="MC52" s="59"/>
      <x:c r="MD52" s="59"/>
      <x:c r="ME52" s="59"/>
      <x:c r="MF52" s="59"/>
      <x:c r="MG52" s="59"/>
      <x:c r="MH52" s="59"/>
      <x:c r="MI52" s="59"/>
      <x:c r="MJ52" s="59"/>
      <x:c r="MK52" s="59"/>
      <x:c r="ML52" s="59"/>
      <x:c r="MM52" s="59"/>
      <x:c r="MN52" s="59"/>
      <x:c r="MO52" s="59"/>
      <x:c r="MP52" s="59"/>
      <x:c r="MQ52" s="59"/>
      <x:c r="MR52" s="59"/>
      <x:c r="MS52" s="59"/>
      <x:c r="MT52" s="59"/>
      <x:c r="MU52" s="59"/>
      <x:c r="MV52" s="59"/>
      <x:c r="MW52" s="59"/>
      <x:c r="MX52" s="59"/>
      <x:c r="MY52" s="59"/>
      <x:c r="MZ52" s="59"/>
      <x:c r="NA52" s="59"/>
      <x:c r="NB52" s="59"/>
      <x:c r="NC52" s="59"/>
      <x:c r="ND52" s="59"/>
      <x:c r="NE52" s="59"/>
      <x:c r="NF52" s="59"/>
      <x:c r="NG52" s="59"/>
      <x:c r="NH52" s="59"/>
      <x:c r="NI52" s="59"/>
      <x:c r="NJ52" s="59"/>
      <x:c r="NK52" s="59"/>
      <x:c r="NL52" s="59"/>
      <x:c r="NM52" s="59"/>
      <x:c r="NN52" s="59"/>
      <x:c r="NO52" s="59"/>
      <x:c r="NP52" s="59"/>
      <x:c r="NQ52" s="59"/>
      <x:c r="NR52" s="59"/>
      <x:c r="NS52" s="59"/>
      <x:c r="NT52" s="59"/>
      <x:c r="NU52" s="59"/>
      <x:c r="NV52" s="59"/>
      <x:c r="NW52" s="59"/>
      <x:c r="NX52" s="59"/>
      <x:c r="NY52" s="59"/>
      <x:c r="NZ52" s="59"/>
      <x:c r="OA52" s="59"/>
      <x:c r="OB52" s="59"/>
      <x:c r="OC52" s="59"/>
      <x:c r="OD52" s="59"/>
      <x:c r="OE52" s="59"/>
      <x:c r="OF52" s="59"/>
      <x:c r="OG52" s="59"/>
      <x:c r="OH52" s="59"/>
      <x:c r="OI52" s="59"/>
      <x:c r="OJ52" s="59"/>
      <x:c r="OK52" s="59"/>
      <x:c r="OL52" s="59"/>
      <x:c r="OM52" s="59"/>
      <x:c r="ON52" s="59"/>
      <x:c r="OO52" s="59"/>
      <x:c r="OP52" s="59"/>
      <x:c r="OQ52" s="59"/>
      <x:c r="OR52" s="59"/>
      <x:c r="OS52" s="59"/>
      <x:c r="OT52" s="59"/>
      <x:c r="OU52" s="59"/>
      <x:c r="OV52" s="59"/>
      <x:c r="OW52" s="59"/>
      <x:c r="OX52" s="59"/>
      <x:c r="OY52" s="59"/>
      <x:c r="OZ52" s="59"/>
      <x:c r="PA52" s="59"/>
      <x:c r="PB52" s="59"/>
      <x:c r="PC52" s="59"/>
      <x:c r="PD52" s="59"/>
      <x:c r="PE52" s="59"/>
      <x:c r="PF52" s="59"/>
      <x:c r="PG52" s="59"/>
      <x:c r="PH52" s="59"/>
      <x:c r="PI52" s="59"/>
      <x:c r="PJ52" s="59"/>
      <x:c r="PK52" s="59"/>
      <x:c r="PL52" s="59"/>
      <x:c r="PM52" s="59"/>
      <x:c r="PN52" s="59"/>
      <x:c r="PO52" s="59"/>
      <x:c r="PP52" s="59"/>
      <x:c r="PQ52" s="59"/>
      <x:c r="PR52" s="59"/>
      <x:c r="PS52" s="59"/>
      <x:c r="PT52" s="59"/>
      <x:c r="PU52" s="59"/>
      <x:c r="PV52" s="59"/>
      <x:c r="PW52" s="59"/>
      <x:c r="PX52" s="59"/>
      <x:c r="PY52" s="59"/>
      <x:c r="PZ52" s="59"/>
      <x:c r="QA52" s="59"/>
      <x:c r="QB52" s="59"/>
      <x:c r="QC52" s="59"/>
      <x:c r="QD52" s="59"/>
      <x:c r="QE52" s="59"/>
      <x:c r="QF52" s="59"/>
      <x:c r="QG52" s="59"/>
      <x:c r="QH52" s="59"/>
      <x:c r="QI52" s="59"/>
      <x:c r="QJ52" s="59"/>
      <x:c r="QK52" s="59"/>
      <x:c r="QL52" s="59"/>
      <x:c r="QM52" s="59"/>
      <x:c r="QN52" s="59"/>
      <x:c r="QO52" s="59"/>
      <x:c r="QP52" s="59"/>
      <x:c r="QQ52" s="59"/>
      <x:c r="QR52" s="59"/>
      <x:c r="QS52" s="59"/>
      <x:c r="QT52" s="59"/>
      <x:c r="QU52" s="59"/>
      <x:c r="QV52" s="59"/>
      <x:c r="QW52" s="59"/>
      <x:c r="QX52" s="59"/>
      <x:c r="QY52" s="59"/>
      <x:c r="QZ52" s="59"/>
      <x:c r="RA52" s="59"/>
      <x:c r="RB52" s="59"/>
      <x:c r="RC52" s="59"/>
      <x:c r="RD52" s="59"/>
      <x:c r="RE52" s="59"/>
      <x:c r="RF52" s="59"/>
      <x:c r="RG52" s="59"/>
      <x:c r="RH52" s="59"/>
      <x:c r="RI52" s="59"/>
      <x:c r="RJ52" s="59"/>
      <x:c r="RK52" s="59"/>
      <x:c r="RL52" s="59"/>
      <x:c r="RM52" s="59"/>
      <x:c r="RN52" s="59"/>
      <x:c r="RO52" s="59"/>
      <x:c r="RP52" s="59"/>
      <x:c r="RQ52" s="59"/>
      <x:c r="RR52" s="59"/>
      <x:c r="RS52" s="59"/>
      <x:c r="RT52" s="59"/>
      <x:c r="RU52" s="59"/>
      <x:c r="RV52" s="59"/>
      <x:c r="RW52" s="59"/>
      <x:c r="RX52" s="59"/>
      <x:c r="RY52" s="59"/>
      <x:c r="RZ52" s="59"/>
      <x:c r="SA52" s="59"/>
      <x:c r="SB52" s="59"/>
      <x:c r="SC52" s="59"/>
      <x:c r="SD52" s="59"/>
      <x:c r="SE52" s="59"/>
      <x:c r="SF52" s="59"/>
    </x:row>
    <x:row r="53">
      <x:c r="A53" s="61" t="s">
        <x:v>111</x:v>
      </x:c>
      <x:c r="B53" s="66" t="s">
        <x:v>112</x:v>
      </x:c>
      <x:c r="C53" s="66"/>
      <x:c r="D53" s="63" t="s">
        <x:v>113</x:v>
      </x:c>
      <x:c r="E53" s="63"/>
      <x:c r="F53" s="63"/>
      <x:c r="G53" s="63" t="s">
        <x:v>114</x:v>
      </x:c>
      <x:c r="H53" s="63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  <x:c r="AA53" s="59"/>
      <x:c r="AB53" s="59"/>
      <x:c r="AC53" s="59"/>
      <x:c r="AD53" s="59"/>
      <x:c r="AE53" s="59"/>
      <x:c r="AF53" s="59"/>
      <x:c r="AG53" s="59"/>
      <x:c r="AH53" s="59"/>
      <x:c r="AI53" s="59"/>
      <x:c r="AJ53" s="59"/>
      <x:c r="AK53" s="59"/>
      <x:c r="AL53" s="59"/>
      <x:c r="AM53" s="59"/>
      <x:c r="AN53" s="59"/>
      <x:c r="AO53" s="59"/>
      <x:c r="AP53" s="59"/>
      <x:c r="AQ53" s="59"/>
      <x:c r="AR53" s="59"/>
      <x:c r="AS53" s="59"/>
      <x:c r="AT53" s="59"/>
      <x:c r="AU53" s="59"/>
      <x:c r="AV53" s="59"/>
      <x:c r="AW53" s="59"/>
      <x:c r="AX53" s="59"/>
      <x:c r="AY53" s="59"/>
      <x:c r="AZ53" s="59"/>
      <x:c r="BA53" s="59"/>
      <x:c r="BB53" s="59"/>
      <x:c r="BC53" s="59"/>
      <x:c r="BD53" s="59"/>
      <x:c r="BE53" s="59"/>
      <x:c r="BF53" s="59"/>
      <x:c r="BG53" s="59"/>
      <x:c r="BH53" s="59"/>
      <x:c r="BI53" s="59"/>
      <x:c r="BJ53" s="59"/>
      <x:c r="BK53" s="59"/>
      <x:c r="BL53" s="59"/>
      <x:c r="BM53" s="59"/>
      <x:c r="BN53" s="59"/>
      <x:c r="BO53" s="59"/>
      <x:c r="BP53" s="59"/>
      <x:c r="BQ53" s="59"/>
      <x:c r="BR53" s="59"/>
      <x:c r="BS53" s="59"/>
      <x:c r="BT53" s="59"/>
      <x:c r="BU53" s="59"/>
      <x:c r="BV53" s="59"/>
      <x:c r="BW53" s="59"/>
      <x:c r="BX53" s="59"/>
      <x:c r="BY53" s="59"/>
      <x:c r="BZ53" s="59"/>
      <x:c r="CA53" s="59"/>
      <x:c r="CB53" s="59"/>
      <x:c r="CC53" s="59"/>
      <x:c r="CD53" s="59"/>
      <x:c r="CE53" s="59"/>
      <x:c r="CF53" s="59"/>
      <x:c r="CG53" s="59"/>
      <x:c r="CH53" s="59"/>
      <x:c r="CI53" s="59"/>
      <x:c r="CJ53" s="59"/>
      <x:c r="CK53" s="59"/>
      <x:c r="CL53" s="59"/>
      <x:c r="CM53" s="59"/>
      <x:c r="CN53" s="59"/>
      <x:c r="CO53" s="59"/>
      <x:c r="CP53" s="59"/>
      <x:c r="CQ53" s="59"/>
      <x:c r="CR53" s="59"/>
      <x:c r="CS53" s="59"/>
      <x:c r="CT53" s="59"/>
      <x:c r="CU53" s="59"/>
      <x:c r="CV53" s="59"/>
      <x:c r="CW53" s="59"/>
      <x:c r="CX53" s="59"/>
      <x:c r="CY53" s="59"/>
      <x:c r="CZ53" s="59"/>
      <x:c r="DA53" s="59"/>
      <x:c r="DB53" s="59"/>
      <x:c r="DC53" s="59"/>
      <x:c r="DD53" s="59"/>
      <x:c r="DE53" s="59"/>
      <x:c r="DF53" s="59"/>
      <x:c r="DG53" s="59"/>
      <x:c r="DH53" s="59"/>
      <x:c r="DI53" s="59"/>
      <x:c r="DJ53" s="59"/>
      <x:c r="DK53" s="59"/>
      <x:c r="DL53" s="59"/>
      <x:c r="DM53" s="59"/>
      <x:c r="DN53" s="59"/>
      <x:c r="DO53" s="59"/>
      <x:c r="DP53" s="59"/>
      <x:c r="DQ53" s="59"/>
      <x:c r="DR53" s="59"/>
      <x:c r="DS53" s="59"/>
      <x:c r="DT53" s="59"/>
      <x:c r="DU53" s="59"/>
      <x:c r="DV53" s="59"/>
      <x:c r="DW53" s="59"/>
      <x:c r="DX53" s="59"/>
      <x:c r="DY53" s="59"/>
      <x:c r="DZ53" s="59"/>
      <x:c r="EA53" s="59"/>
      <x:c r="EB53" s="59"/>
      <x:c r="EC53" s="59"/>
      <x:c r="ED53" s="59"/>
      <x:c r="EE53" s="59"/>
      <x:c r="EF53" s="59"/>
      <x:c r="EG53" s="59"/>
      <x:c r="EH53" s="59"/>
      <x:c r="EI53" s="59"/>
      <x:c r="EJ53" s="59"/>
      <x:c r="EK53" s="59"/>
      <x:c r="EL53" s="59"/>
      <x:c r="EM53" s="59"/>
      <x:c r="EN53" s="59"/>
      <x:c r="EO53" s="59"/>
      <x:c r="EP53" s="59"/>
      <x:c r="EQ53" s="59"/>
      <x:c r="ER53" s="59"/>
      <x:c r="ES53" s="59"/>
      <x:c r="ET53" s="59"/>
      <x:c r="EU53" s="59"/>
      <x:c r="EV53" s="59"/>
      <x:c r="EW53" s="59"/>
      <x:c r="EX53" s="59"/>
      <x:c r="EY53" s="59"/>
      <x:c r="EZ53" s="59"/>
      <x:c r="FA53" s="59"/>
      <x:c r="FB53" s="59"/>
      <x:c r="FC53" s="59"/>
      <x:c r="FD53" s="59"/>
      <x:c r="FE53" s="59"/>
      <x:c r="FF53" s="59"/>
      <x:c r="FG53" s="59"/>
      <x:c r="FH53" s="59"/>
      <x:c r="FI53" s="59"/>
      <x:c r="FJ53" s="59"/>
      <x:c r="FK53" s="59"/>
      <x:c r="FL53" s="59"/>
      <x:c r="FM53" s="59"/>
      <x:c r="FN53" s="59"/>
      <x:c r="FO53" s="59"/>
      <x:c r="FP53" s="59"/>
      <x:c r="FQ53" s="59"/>
      <x:c r="FR53" s="59"/>
      <x:c r="FS53" s="59"/>
      <x:c r="FT53" s="59"/>
      <x:c r="FU53" s="59"/>
      <x:c r="FV53" s="59"/>
      <x:c r="FW53" s="59"/>
      <x:c r="FX53" s="59"/>
      <x:c r="FY53" s="59"/>
      <x:c r="FZ53" s="59"/>
      <x:c r="GA53" s="59"/>
      <x:c r="GB53" s="59"/>
      <x:c r="GC53" s="59"/>
      <x:c r="GD53" s="59"/>
      <x:c r="GE53" s="59"/>
      <x:c r="GF53" s="59"/>
      <x:c r="GG53" s="59"/>
      <x:c r="GH53" s="59"/>
      <x:c r="GI53" s="59"/>
      <x:c r="GJ53" s="59"/>
      <x:c r="GK53" s="59"/>
      <x:c r="GL53" s="59"/>
      <x:c r="GM53" s="59"/>
      <x:c r="GN53" s="59"/>
      <x:c r="GO53" s="59"/>
      <x:c r="GP53" s="59"/>
      <x:c r="GQ53" s="59"/>
      <x:c r="GR53" s="59"/>
      <x:c r="GS53" s="59"/>
      <x:c r="GT53" s="59"/>
      <x:c r="GU53" s="59"/>
      <x:c r="GV53" s="59"/>
      <x:c r="GW53" s="59"/>
      <x:c r="GX53" s="59"/>
      <x:c r="GY53" s="59"/>
      <x:c r="GZ53" s="59"/>
      <x:c r="HA53" s="59"/>
      <x:c r="HB53" s="59"/>
      <x:c r="HC53" s="59"/>
      <x:c r="HD53" s="59"/>
      <x:c r="HE53" s="59"/>
      <x:c r="HF53" s="59"/>
      <x:c r="HG53" s="59"/>
      <x:c r="HH53" s="59"/>
      <x:c r="HI53" s="59"/>
      <x:c r="HJ53" s="59"/>
      <x:c r="HK53" s="59"/>
      <x:c r="HL53" s="59"/>
      <x:c r="HM53" s="59"/>
      <x:c r="HN53" s="59"/>
      <x:c r="HO53" s="59"/>
      <x:c r="HP53" s="59"/>
      <x:c r="HQ53" s="59"/>
      <x:c r="HR53" s="59"/>
      <x:c r="HS53" s="59"/>
      <x:c r="HT53" s="59"/>
      <x:c r="HU53" s="59"/>
      <x:c r="HV53" s="59"/>
      <x:c r="HW53" s="59"/>
      <x:c r="HX53" s="59"/>
      <x:c r="HY53" s="59"/>
      <x:c r="HZ53" s="59"/>
      <x:c r="IA53" s="59"/>
      <x:c r="IB53" s="59"/>
      <x:c r="IC53" s="59"/>
      <x:c r="ID53" s="59"/>
      <x:c r="IE53" s="59"/>
      <x:c r="IF53" s="59"/>
      <x:c r="IG53" s="59"/>
      <x:c r="IH53" s="59"/>
      <x:c r="II53" s="59"/>
      <x:c r="IJ53" s="59"/>
      <x:c r="IK53" s="59"/>
      <x:c r="IL53" s="59"/>
      <x:c r="IM53" s="59"/>
      <x:c r="IN53" s="59"/>
      <x:c r="IO53" s="59"/>
      <x:c r="IP53" s="59"/>
      <x:c r="IQ53" s="59"/>
      <x:c r="IR53" s="59"/>
      <x:c r="IS53" s="59"/>
      <x:c r="IT53" s="59"/>
      <x:c r="IU53" s="59"/>
      <x:c r="IV53" s="59"/>
      <x:c r="IW53" s="59"/>
      <x:c r="IX53" s="59"/>
      <x:c r="IY53" s="59"/>
      <x:c r="IZ53" s="59"/>
      <x:c r="JA53" s="59"/>
      <x:c r="JB53" s="59"/>
      <x:c r="JC53" s="59"/>
      <x:c r="JD53" s="59"/>
      <x:c r="JE53" s="59"/>
      <x:c r="JF53" s="59"/>
      <x:c r="JG53" s="59"/>
      <x:c r="JH53" s="59"/>
      <x:c r="JI53" s="59"/>
      <x:c r="JJ53" s="59"/>
      <x:c r="JK53" s="59"/>
      <x:c r="JL53" s="59"/>
      <x:c r="JM53" s="59"/>
      <x:c r="JN53" s="59"/>
      <x:c r="JO53" s="59"/>
      <x:c r="JP53" s="59"/>
      <x:c r="JQ53" s="59"/>
      <x:c r="JR53" s="59"/>
      <x:c r="JS53" s="59"/>
      <x:c r="JT53" s="59"/>
      <x:c r="JU53" s="59"/>
      <x:c r="JV53" s="59"/>
      <x:c r="JW53" s="59"/>
      <x:c r="JX53" s="59"/>
      <x:c r="JY53" s="59"/>
      <x:c r="JZ53" s="59"/>
      <x:c r="KA53" s="59"/>
      <x:c r="KB53" s="59"/>
      <x:c r="KC53" s="59"/>
      <x:c r="KD53" s="59"/>
      <x:c r="KE53" s="59"/>
      <x:c r="KF53" s="59"/>
      <x:c r="KG53" s="59"/>
      <x:c r="KH53" s="59"/>
      <x:c r="KI53" s="59"/>
      <x:c r="KJ53" s="59"/>
      <x:c r="KK53" s="59"/>
      <x:c r="KL53" s="59"/>
      <x:c r="KM53" s="59"/>
      <x:c r="KN53" s="59"/>
      <x:c r="KO53" s="59"/>
      <x:c r="KP53" s="59"/>
      <x:c r="KQ53" s="59"/>
      <x:c r="KR53" s="59"/>
      <x:c r="KS53" s="59"/>
      <x:c r="KT53" s="59"/>
      <x:c r="KU53" s="59"/>
      <x:c r="KV53" s="59"/>
      <x:c r="KW53" s="59"/>
      <x:c r="KX53" s="59"/>
      <x:c r="KY53" s="59"/>
      <x:c r="KZ53" s="59"/>
      <x:c r="LA53" s="59"/>
      <x:c r="LB53" s="59"/>
      <x:c r="LC53" s="59"/>
      <x:c r="LD53" s="59"/>
      <x:c r="LE53" s="59"/>
      <x:c r="LF53" s="59"/>
      <x:c r="LG53" s="59"/>
      <x:c r="LH53" s="59"/>
      <x:c r="LI53" s="59"/>
      <x:c r="LJ53" s="59"/>
      <x:c r="LK53" s="59"/>
      <x:c r="LL53" s="59"/>
      <x:c r="LM53" s="59"/>
      <x:c r="LN53" s="59"/>
      <x:c r="LO53" s="59"/>
      <x:c r="LP53" s="59"/>
      <x:c r="LQ53" s="59"/>
      <x:c r="LR53" s="59"/>
      <x:c r="LS53" s="59"/>
      <x:c r="LT53" s="59"/>
      <x:c r="LU53" s="59"/>
      <x:c r="LV53" s="59"/>
      <x:c r="LW53" s="59"/>
      <x:c r="LX53" s="59"/>
      <x:c r="LY53" s="59"/>
      <x:c r="LZ53" s="59"/>
      <x:c r="MA53" s="59"/>
      <x:c r="MB53" s="59"/>
      <x:c r="MC53" s="59"/>
      <x:c r="MD53" s="59"/>
      <x:c r="ME53" s="59"/>
      <x:c r="MF53" s="59"/>
      <x:c r="MG53" s="59"/>
      <x:c r="MH53" s="59"/>
      <x:c r="MI53" s="59"/>
      <x:c r="MJ53" s="59"/>
      <x:c r="MK53" s="59"/>
      <x:c r="ML53" s="59"/>
      <x:c r="MM53" s="59"/>
      <x:c r="MN53" s="59"/>
      <x:c r="MO53" s="59"/>
      <x:c r="MP53" s="59"/>
      <x:c r="MQ53" s="59"/>
      <x:c r="MR53" s="59"/>
      <x:c r="MS53" s="59"/>
      <x:c r="MT53" s="59"/>
      <x:c r="MU53" s="59"/>
      <x:c r="MV53" s="59"/>
      <x:c r="MW53" s="59"/>
      <x:c r="MX53" s="59"/>
      <x:c r="MY53" s="59"/>
      <x:c r="MZ53" s="59"/>
      <x:c r="NA53" s="59"/>
      <x:c r="NB53" s="59"/>
      <x:c r="NC53" s="59"/>
      <x:c r="ND53" s="59"/>
      <x:c r="NE53" s="59"/>
      <x:c r="NF53" s="59"/>
      <x:c r="NG53" s="59"/>
      <x:c r="NH53" s="59"/>
      <x:c r="NI53" s="59"/>
      <x:c r="NJ53" s="59"/>
      <x:c r="NK53" s="59"/>
      <x:c r="NL53" s="59"/>
      <x:c r="NM53" s="59"/>
      <x:c r="NN53" s="59"/>
      <x:c r="NO53" s="59"/>
      <x:c r="NP53" s="59"/>
      <x:c r="NQ53" s="59"/>
      <x:c r="NR53" s="59"/>
      <x:c r="NS53" s="59"/>
      <x:c r="NT53" s="59"/>
      <x:c r="NU53" s="59"/>
      <x:c r="NV53" s="59"/>
      <x:c r="NW53" s="59"/>
      <x:c r="NX53" s="59"/>
      <x:c r="NY53" s="59"/>
      <x:c r="NZ53" s="59"/>
      <x:c r="OA53" s="59"/>
      <x:c r="OB53" s="59"/>
      <x:c r="OC53" s="59"/>
      <x:c r="OD53" s="59"/>
      <x:c r="OE53" s="59"/>
      <x:c r="OF53" s="59"/>
      <x:c r="OG53" s="59"/>
      <x:c r="OH53" s="59"/>
      <x:c r="OI53" s="59"/>
      <x:c r="OJ53" s="59"/>
      <x:c r="OK53" s="59"/>
      <x:c r="OL53" s="59"/>
      <x:c r="OM53" s="59"/>
      <x:c r="ON53" s="59"/>
      <x:c r="OO53" s="59"/>
      <x:c r="OP53" s="59"/>
      <x:c r="OQ53" s="59"/>
      <x:c r="OR53" s="59"/>
      <x:c r="OS53" s="59"/>
      <x:c r="OT53" s="59"/>
      <x:c r="OU53" s="59"/>
      <x:c r="OV53" s="59"/>
      <x:c r="OW53" s="59"/>
      <x:c r="OX53" s="59"/>
      <x:c r="OY53" s="59"/>
      <x:c r="OZ53" s="59"/>
      <x:c r="PA53" s="59"/>
      <x:c r="PB53" s="59"/>
      <x:c r="PC53" s="59"/>
      <x:c r="PD53" s="59"/>
      <x:c r="PE53" s="59"/>
      <x:c r="PF53" s="59"/>
      <x:c r="PG53" s="59"/>
      <x:c r="PH53" s="59"/>
      <x:c r="PI53" s="59"/>
      <x:c r="PJ53" s="59"/>
      <x:c r="PK53" s="59"/>
      <x:c r="PL53" s="59"/>
      <x:c r="PM53" s="59"/>
      <x:c r="PN53" s="59"/>
      <x:c r="PO53" s="59"/>
      <x:c r="PP53" s="59"/>
      <x:c r="PQ53" s="59"/>
      <x:c r="PR53" s="59"/>
      <x:c r="PS53" s="59"/>
      <x:c r="PT53" s="59"/>
      <x:c r="PU53" s="59"/>
      <x:c r="PV53" s="59"/>
      <x:c r="PW53" s="59"/>
      <x:c r="PX53" s="59"/>
      <x:c r="PY53" s="59"/>
      <x:c r="PZ53" s="59"/>
      <x:c r="QA53" s="59"/>
      <x:c r="QB53" s="59"/>
      <x:c r="QC53" s="59"/>
      <x:c r="QD53" s="59"/>
      <x:c r="QE53" s="59"/>
      <x:c r="QF53" s="59"/>
      <x:c r="QG53" s="59"/>
      <x:c r="QH53" s="59"/>
      <x:c r="QI53" s="59"/>
      <x:c r="QJ53" s="59"/>
      <x:c r="QK53" s="59"/>
      <x:c r="QL53" s="59"/>
      <x:c r="QM53" s="59"/>
      <x:c r="QN53" s="59"/>
      <x:c r="QO53" s="59"/>
      <x:c r="QP53" s="59"/>
      <x:c r="QQ53" s="59"/>
      <x:c r="QR53" s="59"/>
      <x:c r="QS53" s="59"/>
      <x:c r="QT53" s="59"/>
      <x:c r="QU53" s="59"/>
      <x:c r="QV53" s="59"/>
      <x:c r="QW53" s="59"/>
      <x:c r="QX53" s="59"/>
      <x:c r="QY53" s="59"/>
      <x:c r="QZ53" s="59"/>
      <x:c r="RA53" s="59"/>
      <x:c r="RB53" s="59"/>
      <x:c r="RC53" s="59"/>
      <x:c r="RD53" s="59"/>
      <x:c r="RE53" s="59"/>
      <x:c r="RF53" s="59"/>
      <x:c r="RG53" s="59"/>
      <x:c r="RH53" s="59"/>
      <x:c r="RI53" s="59"/>
      <x:c r="RJ53" s="59"/>
      <x:c r="RK53" s="59"/>
      <x:c r="RL53" s="59"/>
      <x:c r="RM53" s="59"/>
      <x:c r="RN53" s="59"/>
      <x:c r="RO53" s="59"/>
      <x:c r="RP53" s="59"/>
      <x:c r="RQ53" s="59"/>
      <x:c r="RR53" s="59"/>
      <x:c r="RS53" s="59"/>
      <x:c r="RT53" s="59"/>
      <x:c r="RU53" s="59"/>
      <x:c r="RV53" s="59"/>
      <x:c r="RW53" s="59"/>
      <x:c r="RX53" s="59"/>
      <x:c r="RY53" s="59"/>
      <x:c r="RZ53" s="59"/>
      <x:c r="SA53" s="59"/>
      <x:c r="SB53" s="59"/>
      <x:c r="SC53" s="59"/>
      <x:c r="SD53" s="59"/>
      <x:c r="SE53" s="59"/>
      <x:c r="SF53" s="59"/>
    </x:row>
    <x:row r="54">
      <x:c r="A54" s="61" t="s">
        <x:v>115</x:v>
      </x:c>
      <x:c r="B54" s="66" t="s">
        <x:v>112</x:v>
      </x:c>
      <x:c r="C54" s="66"/>
      <x:c r="D54" s="63" t="s">
        <x:v>116</x:v>
      </x:c>
      <x:c r="E54" s="63"/>
      <x:c r="F54" s="63"/>
      <x:c r="G54" s="63" t="s">
        <x:v>117</x:v>
      </x:c>
      <x:c r="H54" s="63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  <x:c r="AA54" s="59"/>
      <x:c r="AB54" s="59"/>
      <x:c r="AC54" s="59"/>
      <x:c r="AD54" s="59"/>
      <x:c r="AE54" s="59"/>
      <x:c r="AF54" s="59"/>
      <x:c r="AG54" s="59"/>
      <x:c r="AH54" s="59"/>
      <x:c r="AI54" s="59"/>
      <x:c r="AJ54" s="59"/>
      <x:c r="AK54" s="59"/>
      <x:c r="AL54" s="59"/>
      <x:c r="AM54" s="59"/>
      <x:c r="AN54" s="59"/>
      <x:c r="AO54" s="59"/>
      <x:c r="AP54" s="59"/>
      <x:c r="AQ54" s="59"/>
      <x:c r="AR54" s="59"/>
      <x:c r="AS54" s="59"/>
      <x:c r="AT54" s="59"/>
      <x:c r="AU54" s="59"/>
      <x:c r="AV54" s="59"/>
      <x:c r="AW54" s="59"/>
      <x:c r="AX54" s="59"/>
      <x:c r="AY54" s="59"/>
      <x:c r="AZ54" s="59"/>
      <x:c r="BA54" s="59"/>
      <x:c r="BB54" s="59"/>
      <x:c r="BC54" s="59"/>
      <x:c r="BD54" s="59"/>
      <x:c r="BE54" s="59"/>
      <x:c r="BF54" s="59"/>
      <x:c r="BG54" s="59"/>
      <x:c r="BH54" s="59"/>
      <x:c r="BI54" s="59"/>
      <x:c r="BJ54" s="59"/>
      <x:c r="BK54" s="59"/>
      <x:c r="BL54" s="59"/>
      <x:c r="BM54" s="59"/>
      <x:c r="BN54" s="59"/>
      <x:c r="BO54" s="59"/>
      <x:c r="BP54" s="59"/>
      <x:c r="BQ54" s="59"/>
      <x:c r="BR54" s="59"/>
      <x:c r="BS54" s="59"/>
      <x:c r="BT54" s="59"/>
      <x:c r="BU54" s="59"/>
      <x:c r="BV54" s="59"/>
      <x:c r="BW54" s="59"/>
      <x:c r="BX54" s="59"/>
      <x:c r="BY54" s="59"/>
      <x:c r="BZ54" s="59"/>
      <x:c r="CA54" s="59"/>
      <x:c r="CB54" s="59"/>
      <x:c r="CC54" s="59"/>
      <x:c r="CD54" s="59"/>
      <x:c r="CE54" s="59"/>
      <x:c r="CF54" s="59"/>
      <x:c r="CG54" s="59"/>
      <x:c r="CH54" s="59"/>
      <x:c r="CI54" s="59"/>
      <x:c r="CJ54" s="59"/>
      <x:c r="CK54" s="59"/>
      <x:c r="CL54" s="59"/>
      <x:c r="CM54" s="59"/>
      <x:c r="CN54" s="59"/>
      <x:c r="CO54" s="59"/>
      <x:c r="CP54" s="59"/>
      <x:c r="CQ54" s="59"/>
      <x:c r="CR54" s="59"/>
      <x:c r="CS54" s="59"/>
      <x:c r="CT54" s="59"/>
      <x:c r="CU54" s="59"/>
      <x:c r="CV54" s="59"/>
      <x:c r="CW54" s="59"/>
      <x:c r="CX54" s="59"/>
      <x:c r="CY54" s="59"/>
      <x:c r="CZ54" s="59"/>
      <x:c r="DA54" s="59"/>
      <x:c r="DB54" s="59"/>
      <x:c r="DC54" s="59"/>
      <x:c r="DD54" s="59"/>
      <x:c r="DE54" s="59"/>
      <x:c r="DF54" s="59"/>
      <x:c r="DG54" s="59"/>
      <x:c r="DH54" s="59"/>
      <x:c r="DI54" s="59"/>
      <x:c r="DJ54" s="59"/>
      <x:c r="DK54" s="59"/>
      <x:c r="DL54" s="59"/>
      <x:c r="DM54" s="59"/>
      <x:c r="DN54" s="59"/>
      <x:c r="DO54" s="59"/>
      <x:c r="DP54" s="59"/>
      <x:c r="DQ54" s="59"/>
      <x:c r="DR54" s="59"/>
      <x:c r="DS54" s="59"/>
      <x:c r="DT54" s="59"/>
      <x:c r="DU54" s="59"/>
      <x:c r="DV54" s="59"/>
      <x:c r="DW54" s="59"/>
      <x:c r="DX54" s="59"/>
      <x:c r="DY54" s="59"/>
      <x:c r="DZ54" s="59"/>
      <x:c r="EA54" s="59"/>
      <x:c r="EB54" s="59"/>
      <x:c r="EC54" s="59"/>
      <x:c r="ED54" s="59"/>
      <x:c r="EE54" s="59"/>
      <x:c r="EF54" s="59"/>
      <x:c r="EG54" s="59"/>
      <x:c r="EH54" s="59"/>
      <x:c r="EI54" s="59"/>
      <x:c r="EJ54" s="59"/>
      <x:c r="EK54" s="59"/>
      <x:c r="EL54" s="59"/>
      <x:c r="EM54" s="59"/>
      <x:c r="EN54" s="59"/>
      <x:c r="EO54" s="59"/>
      <x:c r="EP54" s="59"/>
      <x:c r="EQ54" s="59"/>
      <x:c r="ER54" s="59"/>
      <x:c r="ES54" s="59"/>
      <x:c r="ET54" s="59"/>
      <x:c r="EU54" s="59"/>
      <x:c r="EV54" s="59"/>
      <x:c r="EW54" s="59"/>
      <x:c r="EX54" s="59"/>
      <x:c r="EY54" s="59"/>
      <x:c r="EZ54" s="59"/>
      <x:c r="FA54" s="59"/>
      <x:c r="FB54" s="59"/>
      <x:c r="FC54" s="59"/>
      <x:c r="FD54" s="59"/>
      <x:c r="FE54" s="59"/>
      <x:c r="FF54" s="59"/>
      <x:c r="FG54" s="59"/>
      <x:c r="FH54" s="59"/>
      <x:c r="FI54" s="59"/>
      <x:c r="FJ54" s="59"/>
      <x:c r="FK54" s="59"/>
      <x:c r="FL54" s="59"/>
      <x:c r="FM54" s="59"/>
      <x:c r="FN54" s="59"/>
      <x:c r="FO54" s="59"/>
      <x:c r="FP54" s="59"/>
      <x:c r="FQ54" s="59"/>
      <x:c r="FR54" s="59"/>
      <x:c r="FS54" s="59"/>
      <x:c r="FT54" s="59"/>
      <x:c r="FU54" s="59"/>
      <x:c r="FV54" s="59"/>
      <x:c r="FW54" s="59"/>
      <x:c r="FX54" s="59"/>
      <x:c r="FY54" s="59"/>
      <x:c r="FZ54" s="59"/>
      <x:c r="GA54" s="59"/>
      <x:c r="GB54" s="59"/>
      <x:c r="GC54" s="59"/>
      <x:c r="GD54" s="59"/>
      <x:c r="GE54" s="59"/>
      <x:c r="GF54" s="59"/>
      <x:c r="GG54" s="59"/>
      <x:c r="GH54" s="59"/>
      <x:c r="GI54" s="59"/>
      <x:c r="GJ54" s="59"/>
      <x:c r="GK54" s="59"/>
      <x:c r="GL54" s="59"/>
      <x:c r="GM54" s="59"/>
      <x:c r="GN54" s="59"/>
      <x:c r="GO54" s="59"/>
      <x:c r="GP54" s="59"/>
      <x:c r="GQ54" s="59"/>
      <x:c r="GR54" s="59"/>
      <x:c r="GS54" s="59"/>
      <x:c r="GT54" s="59"/>
      <x:c r="GU54" s="59"/>
      <x:c r="GV54" s="59"/>
      <x:c r="GW54" s="59"/>
      <x:c r="GX54" s="59"/>
      <x:c r="GY54" s="59"/>
      <x:c r="GZ54" s="59"/>
      <x:c r="HA54" s="59"/>
      <x:c r="HB54" s="59"/>
      <x:c r="HC54" s="59"/>
      <x:c r="HD54" s="59"/>
      <x:c r="HE54" s="59"/>
      <x:c r="HF54" s="59"/>
      <x:c r="HG54" s="59"/>
      <x:c r="HH54" s="59"/>
      <x:c r="HI54" s="59"/>
      <x:c r="HJ54" s="59"/>
      <x:c r="HK54" s="59"/>
      <x:c r="HL54" s="59"/>
      <x:c r="HM54" s="59"/>
      <x:c r="HN54" s="59"/>
      <x:c r="HO54" s="59"/>
      <x:c r="HP54" s="59"/>
      <x:c r="HQ54" s="59"/>
      <x:c r="HR54" s="59"/>
      <x:c r="HS54" s="59"/>
      <x:c r="HT54" s="59"/>
      <x:c r="HU54" s="59"/>
      <x:c r="HV54" s="59"/>
      <x:c r="HW54" s="59"/>
      <x:c r="HX54" s="59"/>
      <x:c r="HY54" s="59"/>
      <x:c r="HZ54" s="59"/>
      <x:c r="IA54" s="59"/>
      <x:c r="IB54" s="59"/>
      <x:c r="IC54" s="59"/>
      <x:c r="ID54" s="59"/>
      <x:c r="IE54" s="59"/>
      <x:c r="IF54" s="59"/>
      <x:c r="IG54" s="59"/>
      <x:c r="IH54" s="59"/>
      <x:c r="II54" s="59"/>
      <x:c r="IJ54" s="59"/>
      <x:c r="IK54" s="59"/>
      <x:c r="IL54" s="59"/>
      <x:c r="IM54" s="59"/>
      <x:c r="IN54" s="59"/>
      <x:c r="IO54" s="59"/>
      <x:c r="IP54" s="59"/>
      <x:c r="IQ54" s="59"/>
      <x:c r="IR54" s="59"/>
      <x:c r="IS54" s="59"/>
      <x:c r="IT54" s="59"/>
      <x:c r="IU54" s="59"/>
      <x:c r="IV54" s="59"/>
      <x:c r="IW54" s="59"/>
      <x:c r="IX54" s="59"/>
      <x:c r="IY54" s="59"/>
      <x:c r="IZ54" s="59"/>
      <x:c r="JA54" s="59"/>
      <x:c r="JB54" s="59"/>
      <x:c r="JC54" s="59"/>
      <x:c r="JD54" s="59"/>
      <x:c r="JE54" s="59"/>
      <x:c r="JF54" s="59"/>
      <x:c r="JG54" s="59"/>
      <x:c r="JH54" s="59"/>
      <x:c r="JI54" s="59"/>
      <x:c r="JJ54" s="59"/>
      <x:c r="JK54" s="59"/>
      <x:c r="JL54" s="59"/>
      <x:c r="JM54" s="59"/>
      <x:c r="JN54" s="59"/>
      <x:c r="JO54" s="59"/>
      <x:c r="JP54" s="59"/>
      <x:c r="JQ54" s="59"/>
      <x:c r="JR54" s="59"/>
      <x:c r="JS54" s="59"/>
      <x:c r="JT54" s="59"/>
      <x:c r="JU54" s="59"/>
      <x:c r="JV54" s="59"/>
      <x:c r="JW54" s="59"/>
      <x:c r="JX54" s="59"/>
      <x:c r="JY54" s="59"/>
      <x:c r="JZ54" s="59"/>
      <x:c r="KA54" s="59"/>
      <x:c r="KB54" s="59"/>
      <x:c r="KC54" s="59"/>
      <x:c r="KD54" s="59"/>
      <x:c r="KE54" s="59"/>
      <x:c r="KF54" s="59"/>
      <x:c r="KG54" s="59"/>
      <x:c r="KH54" s="59"/>
      <x:c r="KI54" s="59"/>
      <x:c r="KJ54" s="59"/>
      <x:c r="KK54" s="59"/>
      <x:c r="KL54" s="59"/>
      <x:c r="KM54" s="59"/>
      <x:c r="KN54" s="59"/>
      <x:c r="KO54" s="59"/>
      <x:c r="KP54" s="59"/>
      <x:c r="KQ54" s="59"/>
      <x:c r="KR54" s="59"/>
      <x:c r="KS54" s="59"/>
      <x:c r="KT54" s="59"/>
      <x:c r="KU54" s="59"/>
      <x:c r="KV54" s="59"/>
      <x:c r="KW54" s="59"/>
      <x:c r="KX54" s="59"/>
      <x:c r="KY54" s="59"/>
      <x:c r="KZ54" s="59"/>
      <x:c r="LA54" s="59"/>
      <x:c r="LB54" s="59"/>
      <x:c r="LC54" s="59"/>
      <x:c r="LD54" s="59"/>
      <x:c r="LE54" s="59"/>
      <x:c r="LF54" s="59"/>
      <x:c r="LG54" s="59"/>
      <x:c r="LH54" s="59"/>
      <x:c r="LI54" s="59"/>
      <x:c r="LJ54" s="59"/>
      <x:c r="LK54" s="59"/>
      <x:c r="LL54" s="59"/>
      <x:c r="LM54" s="59"/>
      <x:c r="LN54" s="59"/>
      <x:c r="LO54" s="59"/>
      <x:c r="LP54" s="59"/>
      <x:c r="LQ54" s="59"/>
      <x:c r="LR54" s="59"/>
      <x:c r="LS54" s="59"/>
      <x:c r="LT54" s="59"/>
      <x:c r="LU54" s="59"/>
      <x:c r="LV54" s="59"/>
      <x:c r="LW54" s="59"/>
      <x:c r="LX54" s="59"/>
      <x:c r="LY54" s="59"/>
      <x:c r="LZ54" s="59"/>
      <x:c r="MA54" s="59"/>
      <x:c r="MB54" s="59"/>
      <x:c r="MC54" s="59"/>
      <x:c r="MD54" s="59"/>
      <x:c r="ME54" s="59"/>
      <x:c r="MF54" s="59"/>
      <x:c r="MG54" s="59"/>
      <x:c r="MH54" s="59"/>
      <x:c r="MI54" s="59"/>
      <x:c r="MJ54" s="59"/>
      <x:c r="MK54" s="59"/>
      <x:c r="ML54" s="59"/>
      <x:c r="MM54" s="59"/>
      <x:c r="MN54" s="59"/>
      <x:c r="MO54" s="59"/>
      <x:c r="MP54" s="59"/>
      <x:c r="MQ54" s="59"/>
      <x:c r="MR54" s="59"/>
      <x:c r="MS54" s="59"/>
      <x:c r="MT54" s="59"/>
      <x:c r="MU54" s="59"/>
      <x:c r="MV54" s="59"/>
      <x:c r="MW54" s="59"/>
      <x:c r="MX54" s="59"/>
      <x:c r="MY54" s="59"/>
      <x:c r="MZ54" s="59"/>
      <x:c r="NA54" s="59"/>
      <x:c r="NB54" s="59"/>
      <x:c r="NC54" s="59"/>
      <x:c r="ND54" s="59"/>
      <x:c r="NE54" s="59"/>
      <x:c r="NF54" s="59"/>
      <x:c r="NG54" s="59"/>
      <x:c r="NH54" s="59"/>
      <x:c r="NI54" s="59"/>
      <x:c r="NJ54" s="59"/>
      <x:c r="NK54" s="59"/>
      <x:c r="NL54" s="59"/>
      <x:c r="NM54" s="59"/>
      <x:c r="NN54" s="59"/>
      <x:c r="NO54" s="59"/>
      <x:c r="NP54" s="59"/>
      <x:c r="NQ54" s="59"/>
      <x:c r="NR54" s="59"/>
      <x:c r="NS54" s="59"/>
      <x:c r="NT54" s="59"/>
      <x:c r="NU54" s="59"/>
      <x:c r="NV54" s="59"/>
      <x:c r="NW54" s="59"/>
      <x:c r="NX54" s="59"/>
      <x:c r="NY54" s="59"/>
      <x:c r="NZ54" s="59"/>
      <x:c r="OA54" s="59"/>
      <x:c r="OB54" s="59"/>
      <x:c r="OC54" s="59"/>
      <x:c r="OD54" s="59"/>
      <x:c r="OE54" s="59"/>
      <x:c r="OF54" s="59"/>
      <x:c r="OG54" s="59"/>
      <x:c r="OH54" s="59"/>
      <x:c r="OI54" s="59"/>
      <x:c r="OJ54" s="59"/>
      <x:c r="OK54" s="59"/>
      <x:c r="OL54" s="59"/>
      <x:c r="OM54" s="59"/>
      <x:c r="ON54" s="59"/>
      <x:c r="OO54" s="59"/>
      <x:c r="OP54" s="59"/>
      <x:c r="OQ54" s="59"/>
      <x:c r="OR54" s="59"/>
      <x:c r="OS54" s="59"/>
      <x:c r="OT54" s="59"/>
      <x:c r="OU54" s="59"/>
      <x:c r="OV54" s="59"/>
      <x:c r="OW54" s="59"/>
      <x:c r="OX54" s="59"/>
      <x:c r="OY54" s="59"/>
      <x:c r="OZ54" s="59"/>
      <x:c r="PA54" s="59"/>
      <x:c r="PB54" s="59"/>
      <x:c r="PC54" s="59"/>
      <x:c r="PD54" s="59"/>
      <x:c r="PE54" s="59"/>
      <x:c r="PF54" s="59"/>
      <x:c r="PG54" s="59"/>
      <x:c r="PH54" s="59"/>
      <x:c r="PI54" s="59"/>
      <x:c r="PJ54" s="59"/>
      <x:c r="PK54" s="59"/>
      <x:c r="PL54" s="59"/>
      <x:c r="PM54" s="59"/>
      <x:c r="PN54" s="59"/>
      <x:c r="PO54" s="59"/>
      <x:c r="PP54" s="59"/>
      <x:c r="PQ54" s="59"/>
      <x:c r="PR54" s="59"/>
      <x:c r="PS54" s="59"/>
      <x:c r="PT54" s="59"/>
      <x:c r="PU54" s="59"/>
      <x:c r="PV54" s="59"/>
      <x:c r="PW54" s="59"/>
      <x:c r="PX54" s="59"/>
      <x:c r="PY54" s="59"/>
      <x:c r="PZ54" s="59"/>
      <x:c r="QA54" s="59"/>
      <x:c r="QB54" s="59"/>
      <x:c r="QC54" s="59"/>
      <x:c r="QD54" s="59"/>
      <x:c r="QE54" s="59"/>
      <x:c r="QF54" s="59"/>
      <x:c r="QG54" s="59"/>
      <x:c r="QH54" s="59"/>
      <x:c r="QI54" s="59"/>
      <x:c r="QJ54" s="59"/>
      <x:c r="QK54" s="59"/>
      <x:c r="QL54" s="59"/>
      <x:c r="QM54" s="59"/>
      <x:c r="QN54" s="59"/>
      <x:c r="QO54" s="59"/>
      <x:c r="QP54" s="59"/>
      <x:c r="QQ54" s="59"/>
      <x:c r="QR54" s="59"/>
      <x:c r="QS54" s="59"/>
      <x:c r="QT54" s="59"/>
      <x:c r="QU54" s="59"/>
      <x:c r="QV54" s="59"/>
      <x:c r="QW54" s="59"/>
      <x:c r="QX54" s="59"/>
      <x:c r="QY54" s="59"/>
      <x:c r="QZ54" s="59"/>
      <x:c r="RA54" s="59"/>
      <x:c r="RB54" s="59"/>
      <x:c r="RC54" s="59"/>
      <x:c r="RD54" s="59"/>
      <x:c r="RE54" s="59"/>
      <x:c r="RF54" s="59"/>
      <x:c r="RG54" s="59"/>
      <x:c r="RH54" s="59"/>
      <x:c r="RI54" s="59"/>
      <x:c r="RJ54" s="59"/>
      <x:c r="RK54" s="59"/>
      <x:c r="RL54" s="59"/>
      <x:c r="RM54" s="59"/>
      <x:c r="RN54" s="59"/>
      <x:c r="RO54" s="59"/>
      <x:c r="RP54" s="59"/>
      <x:c r="RQ54" s="59"/>
      <x:c r="RR54" s="59"/>
      <x:c r="RS54" s="59"/>
      <x:c r="RT54" s="59"/>
      <x:c r="RU54" s="59"/>
      <x:c r="RV54" s="59"/>
      <x:c r="RW54" s="59"/>
      <x:c r="RX54" s="59"/>
      <x:c r="RY54" s="59"/>
      <x:c r="RZ54" s="59"/>
      <x:c r="SA54" s="59"/>
      <x:c r="SB54" s="59"/>
      <x:c r="SC54" s="59"/>
      <x:c r="SD54" s="59"/>
      <x:c r="SE54" s="59"/>
      <x:c r="SF54" s="59"/>
    </x:row>
    <x:row r="55">
      <x:c r="A55" s="61" t="s">
        <x:v>118</x:v>
      </x:c>
      <x:c r="B55" s="68" t="s">
        <x:v>119</x:v>
      </x:c>
      <x:c r="C55" s="68"/>
      <x:c r="D55" s="63" t="s">
        <x:v>120</x:v>
      </x:c>
      <x:c r="E55" s="63"/>
      <x:c r="F55" s="63"/>
      <x:c r="G55" s="63" t="s">
        <x:v>121</x:v>
      </x:c>
      <x:c r="H55" s="63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  <x:c r="AA55" s="59"/>
      <x:c r="AB55" s="59"/>
      <x:c r="AC55" s="59"/>
      <x:c r="AD55" s="59"/>
      <x:c r="AE55" s="59"/>
      <x:c r="AF55" s="59"/>
      <x:c r="AG55" s="59"/>
      <x:c r="AH55" s="59"/>
      <x:c r="AI55" s="59"/>
      <x:c r="AJ55" s="59"/>
      <x:c r="AK55" s="59"/>
      <x:c r="AL55" s="59"/>
      <x:c r="AM55" s="59"/>
      <x:c r="AN55" s="59"/>
      <x:c r="AO55" s="59"/>
      <x:c r="AP55" s="59"/>
      <x:c r="AQ55" s="59"/>
      <x:c r="AR55" s="59"/>
      <x:c r="AS55" s="59"/>
      <x:c r="AT55" s="59"/>
      <x:c r="AU55" s="59"/>
      <x:c r="AV55" s="59"/>
      <x:c r="AW55" s="59"/>
      <x:c r="AX55" s="59"/>
      <x:c r="AY55" s="59"/>
      <x:c r="AZ55" s="59"/>
      <x:c r="BA55" s="59"/>
      <x:c r="BB55" s="59"/>
      <x:c r="BC55" s="59"/>
      <x:c r="BD55" s="59"/>
      <x:c r="BE55" s="59"/>
      <x:c r="BF55" s="59"/>
      <x:c r="BG55" s="59"/>
      <x:c r="BH55" s="59"/>
      <x:c r="BI55" s="59"/>
      <x:c r="BJ55" s="59"/>
      <x:c r="BK55" s="59"/>
      <x:c r="BL55" s="59"/>
      <x:c r="BM55" s="59"/>
      <x:c r="BN55" s="59"/>
      <x:c r="BO55" s="59"/>
      <x:c r="BP55" s="59"/>
      <x:c r="BQ55" s="59"/>
      <x:c r="BR55" s="59"/>
      <x:c r="BS55" s="59"/>
      <x:c r="BT55" s="59"/>
      <x:c r="BU55" s="59"/>
      <x:c r="BV55" s="59"/>
      <x:c r="BW55" s="59"/>
      <x:c r="BX55" s="59"/>
      <x:c r="BY55" s="59"/>
      <x:c r="BZ55" s="59"/>
      <x:c r="CA55" s="59"/>
      <x:c r="CB55" s="59"/>
      <x:c r="CC55" s="59"/>
      <x:c r="CD55" s="59"/>
      <x:c r="CE55" s="59"/>
      <x:c r="CF55" s="59"/>
      <x:c r="CG55" s="59"/>
      <x:c r="CH55" s="59"/>
      <x:c r="CI55" s="59"/>
      <x:c r="CJ55" s="59"/>
      <x:c r="CK55" s="59"/>
      <x:c r="CL55" s="59"/>
      <x:c r="CM55" s="59"/>
      <x:c r="CN55" s="59"/>
      <x:c r="CO55" s="59"/>
      <x:c r="CP55" s="59"/>
      <x:c r="CQ55" s="59"/>
      <x:c r="CR55" s="59"/>
      <x:c r="CS55" s="59"/>
      <x:c r="CT55" s="59"/>
      <x:c r="CU55" s="59"/>
      <x:c r="CV55" s="59"/>
      <x:c r="CW55" s="59"/>
      <x:c r="CX55" s="59"/>
      <x:c r="CY55" s="59"/>
      <x:c r="CZ55" s="59"/>
      <x:c r="DA55" s="59"/>
      <x:c r="DB55" s="59"/>
      <x:c r="DC55" s="59"/>
      <x:c r="DD55" s="59"/>
      <x:c r="DE55" s="59"/>
      <x:c r="DF55" s="59"/>
      <x:c r="DG55" s="59"/>
      <x:c r="DH55" s="59"/>
      <x:c r="DI55" s="59"/>
      <x:c r="DJ55" s="59"/>
      <x:c r="DK55" s="59"/>
      <x:c r="DL55" s="59"/>
      <x:c r="DM55" s="59"/>
      <x:c r="DN55" s="59"/>
      <x:c r="DO55" s="59"/>
      <x:c r="DP55" s="59"/>
      <x:c r="DQ55" s="59"/>
      <x:c r="DR55" s="59"/>
      <x:c r="DS55" s="59"/>
      <x:c r="DT55" s="59"/>
      <x:c r="DU55" s="59"/>
      <x:c r="DV55" s="59"/>
      <x:c r="DW55" s="59"/>
      <x:c r="DX55" s="59"/>
      <x:c r="DY55" s="59"/>
      <x:c r="DZ55" s="59"/>
      <x:c r="EA55" s="59"/>
      <x:c r="EB55" s="59"/>
      <x:c r="EC55" s="59"/>
      <x:c r="ED55" s="59"/>
      <x:c r="EE55" s="59"/>
      <x:c r="EF55" s="59"/>
      <x:c r="EG55" s="59"/>
      <x:c r="EH55" s="59"/>
      <x:c r="EI55" s="59"/>
      <x:c r="EJ55" s="59"/>
      <x:c r="EK55" s="59"/>
      <x:c r="EL55" s="59"/>
      <x:c r="EM55" s="59"/>
      <x:c r="EN55" s="59"/>
      <x:c r="EO55" s="59"/>
      <x:c r="EP55" s="59"/>
      <x:c r="EQ55" s="59"/>
      <x:c r="ER55" s="59"/>
      <x:c r="ES55" s="59"/>
      <x:c r="ET55" s="59"/>
      <x:c r="EU55" s="59"/>
      <x:c r="EV55" s="59"/>
      <x:c r="EW55" s="59"/>
      <x:c r="EX55" s="59"/>
      <x:c r="EY55" s="59"/>
      <x:c r="EZ55" s="59"/>
      <x:c r="FA55" s="59"/>
      <x:c r="FB55" s="59"/>
      <x:c r="FC55" s="59"/>
      <x:c r="FD55" s="59"/>
      <x:c r="FE55" s="59"/>
      <x:c r="FF55" s="59"/>
      <x:c r="FG55" s="59"/>
      <x:c r="FH55" s="59"/>
      <x:c r="FI55" s="59"/>
      <x:c r="FJ55" s="59"/>
      <x:c r="FK55" s="59"/>
      <x:c r="FL55" s="59"/>
      <x:c r="FM55" s="59"/>
      <x:c r="FN55" s="59"/>
      <x:c r="FO55" s="59"/>
      <x:c r="FP55" s="59"/>
      <x:c r="FQ55" s="59"/>
      <x:c r="FR55" s="59"/>
      <x:c r="FS55" s="59"/>
      <x:c r="FT55" s="59"/>
      <x:c r="FU55" s="59"/>
      <x:c r="FV55" s="59"/>
      <x:c r="FW55" s="59"/>
      <x:c r="FX55" s="59"/>
      <x:c r="FY55" s="59"/>
      <x:c r="FZ55" s="59"/>
      <x:c r="GA55" s="59"/>
      <x:c r="GB55" s="59"/>
      <x:c r="GC55" s="59"/>
      <x:c r="GD55" s="59"/>
      <x:c r="GE55" s="59"/>
      <x:c r="GF55" s="59"/>
      <x:c r="GG55" s="59"/>
      <x:c r="GH55" s="59"/>
      <x:c r="GI55" s="59"/>
      <x:c r="GJ55" s="59"/>
      <x:c r="GK55" s="59"/>
      <x:c r="GL55" s="59"/>
      <x:c r="GM55" s="59"/>
      <x:c r="GN55" s="59"/>
      <x:c r="GO55" s="59"/>
      <x:c r="GP55" s="59"/>
      <x:c r="GQ55" s="59"/>
      <x:c r="GR55" s="59"/>
      <x:c r="GS55" s="59"/>
      <x:c r="GT55" s="59"/>
      <x:c r="GU55" s="59"/>
      <x:c r="GV55" s="59"/>
      <x:c r="GW55" s="59"/>
      <x:c r="GX55" s="59"/>
      <x:c r="GY55" s="59"/>
      <x:c r="GZ55" s="59"/>
      <x:c r="HA55" s="59"/>
      <x:c r="HB55" s="59"/>
      <x:c r="HC55" s="59"/>
      <x:c r="HD55" s="59"/>
      <x:c r="HE55" s="59"/>
      <x:c r="HF55" s="59"/>
      <x:c r="HG55" s="59"/>
      <x:c r="HH55" s="59"/>
      <x:c r="HI55" s="59"/>
      <x:c r="HJ55" s="59"/>
      <x:c r="HK55" s="59"/>
      <x:c r="HL55" s="59"/>
      <x:c r="HM55" s="59"/>
      <x:c r="HN55" s="59"/>
      <x:c r="HO55" s="59"/>
      <x:c r="HP55" s="59"/>
      <x:c r="HQ55" s="59"/>
      <x:c r="HR55" s="59"/>
      <x:c r="HS55" s="59"/>
      <x:c r="HT55" s="59"/>
      <x:c r="HU55" s="59"/>
      <x:c r="HV55" s="59"/>
      <x:c r="HW55" s="59"/>
      <x:c r="HX55" s="59"/>
      <x:c r="HY55" s="59"/>
      <x:c r="HZ55" s="59"/>
      <x:c r="IA55" s="59"/>
      <x:c r="IB55" s="59"/>
      <x:c r="IC55" s="59"/>
      <x:c r="ID55" s="59"/>
      <x:c r="IE55" s="59"/>
      <x:c r="IF55" s="59"/>
      <x:c r="IG55" s="59"/>
      <x:c r="IH55" s="59"/>
      <x:c r="II55" s="59"/>
      <x:c r="IJ55" s="59"/>
      <x:c r="IK55" s="59"/>
      <x:c r="IL55" s="59"/>
      <x:c r="IM55" s="59"/>
      <x:c r="IN55" s="59"/>
      <x:c r="IO55" s="59"/>
      <x:c r="IP55" s="59"/>
      <x:c r="IQ55" s="59"/>
      <x:c r="IR55" s="59"/>
      <x:c r="IS55" s="59"/>
      <x:c r="IT55" s="59"/>
      <x:c r="IU55" s="59"/>
      <x:c r="IV55" s="59"/>
      <x:c r="IW55" s="59"/>
      <x:c r="IX55" s="59"/>
      <x:c r="IY55" s="59"/>
      <x:c r="IZ55" s="59"/>
      <x:c r="JA55" s="59"/>
      <x:c r="JB55" s="59"/>
      <x:c r="JC55" s="59"/>
      <x:c r="JD55" s="59"/>
      <x:c r="JE55" s="59"/>
      <x:c r="JF55" s="59"/>
      <x:c r="JG55" s="59"/>
      <x:c r="JH55" s="59"/>
      <x:c r="JI55" s="59"/>
      <x:c r="JJ55" s="59"/>
      <x:c r="JK55" s="59"/>
      <x:c r="JL55" s="59"/>
      <x:c r="JM55" s="59"/>
      <x:c r="JN55" s="59"/>
      <x:c r="JO55" s="59"/>
      <x:c r="JP55" s="59"/>
      <x:c r="JQ55" s="59"/>
      <x:c r="JR55" s="59"/>
      <x:c r="JS55" s="59"/>
      <x:c r="JT55" s="59"/>
      <x:c r="JU55" s="59"/>
      <x:c r="JV55" s="59"/>
      <x:c r="JW55" s="59"/>
      <x:c r="JX55" s="59"/>
      <x:c r="JY55" s="59"/>
      <x:c r="JZ55" s="59"/>
      <x:c r="KA55" s="59"/>
      <x:c r="KB55" s="59"/>
      <x:c r="KC55" s="59"/>
      <x:c r="KD55" s="59"/>
      <x:c r="KE55" s="59"/>
      <x:c r="KF55" s="59"/>
      <x:c r="KG55" s="59"/>
      <x:c r="KH55" s="59"/>
      <x:c r="KI55" s="59"/>
      <x:c r="KJ55" s="59"/>
      <x:c r="KK55" s="59"/>
      <x:c r="KL55" s="59"/>
      <x:c r="KM55" s="59"/>
      <x:c r="KN55" s="59"/>
      <x:c r="KO55" s="59"/>
      <x:c r="KP55" s="59"/>
      <x:c r="KQ55" s="59"/>
      <x:c r="KR55" s="59"/>
      <x:c r="KS55" s="59"/>
      <x:c r="KT55" s="59"/>
      <x:c r="KU55" s="59"/>
      <x:c r="KV55" s="59"/>
      <x:c r="KW55" s="59"/>
      <x:c r="KX55" s="59"/>
      <x:c r="KY55" s="59"/>
      <x:c r="KZ55" s="59"/>
      <x:c r="LA55" s="59"/>
      <x:c r="LB55" s="59"/>
      <x:c r="LC55" s="59"/>
      <x:c r="LD55" s="59"/>
      <x:c r="LE55" s="59"/>
      <x:c r="LF55" s="59"/>
      <x:c r="LG55" s="59"/>
      <x:c r="LH55" s="59"/>
      <x:c r="LI55" s="59"/>
      <x:c r="LJ55" s="59"/>
      <x:c r="LK55" s="59"/>
      <x:c r="LL55" s="59"/>
      <x:c r="LM55" s="59"/>
      <x:c r="LN55" s="59"/>
      <x:c r="LO55" s="59"/>
      <x:c r="LP55" s="59"/>
      <x:c r="LQ55" s="59"/>
      <x:c r="LR55" s="59"/>
      <x:c r="LS55" s="59"/>
      <x:c r="LT55" s="59"/>
      <x:c r="LU55" s="59"/>
      <x:c r="LV55" s="59"/>
      <x:c r="LW55" s="59"/>
      <x:c r="LX55" s="59"/>
      <x:c r="LY55" s="59"/>
      <x:c r="LZ55" s="59"/>
      <x:c r="MA55" s="59"/>
      <x:c r="MB55" s="59"/>
      <x:c r="MC55" s="59"/>
      <x:c r="MD55" s="59"/>
      <x:c r="ME55" s="59"/>
      <x:c r="MF55" s="59"/>
      <x:c r="MG55" s="59"/>
      <x:c r="MH55" s="59"/>
      <x:c r="MI55" s="59"/>
      <x:c r="MJ55" s="59"/>
      <x:c r="MK55" s="59"/>
      <x:c r="ML55" s="59"/>
      <x:c r="MM55" s="59"/>
      <x:c r="MN55" s="59"/>
      <x:c r="MO55" s="59"/>
      <x:c r="MP55" s="59"/>
      <x:c r="MQ55" s="59"/>
      <x:c r="MR55" s="59"/>
      <x:c r="MS55" s="59"/>
      <x:c r="MT55" s="59"/>
      <x:c r="MU55" s="59"/>
      <x:c r="MV55" s="59"/>
      <x:c r="MW55" s="59"/>
      <x:c r="MX55" s="59"/>
      <x:c r="MY55" s="59"/>
      <x:c r="MZ55" s="59"/>
      <x:c r="NA55" s="59"/>
      <x:c r="NB55" s="59"/>
      <x:c r="NC55" s="59"/>
      <x:c r="ND55" s="59"/>
      <x:c r="NE55" s="59"/>
      <x:c r="NF55" s="59"/>
      <x:c r="NG55" s="59"/>
      <x:c r="NH55" s="59"/>
      <x:c r="NI55" s="59"/>
      <x:c r="NJ55" s="59"/>
      <x:c r="NK55" s="59"/>
      <x:c r="NL55" s="59"/>
      <x:c r="NM55" s="59"/>
      <x:c r="NN55" s="59"/>
      <x:c r="NO55" s="59"/>
      <x:c r="NP55" s="59"/>
      <x:c r="NQ55" s="59"/>
      <x:c r="NR55" s="59"/>
      <x:c r="NS55" s="59"/>
      <x:c r="NT55" s="59"/>
      <x:c r="NU55" s="59"/>
      <x:c r="NV55" s="59"/>
      <x:c r="NW55" s="59"/>
      <x:c r="NX55" s="59"/>
      <x:c r="NY55" s="59"/>
      <x:c r="NZ55" s="59"/>
      <x:c r="OA55" s="59"/>
      <x:c r="OB55" s="59"/>
      <x:c r="OC55" s="59"/>
      <x:c r="OD55" s="59"/>
      <x:c r="OE55" s="59"/>
      <x:c r="OF55" s="59"/>
      <x:c r="OG55" s="59"/>
      <x:c r="OH55" s="59"/>
      <x:c r="OI55" s="59"/>
      <x:c r="OJ55" s="59"/>
      <x:c r="OK55" s="59"/>
      <x:c r="OL55" s="59"/>
      <x:c r="OM55" s="59"/>
      <x:c r="ON55" s="59"/>
      <x:c r="OO55" s="59"/>
      <x:c r="OP55" s="59"/>
      <x:c r="OQ55" s="59"/>
      <x:c r="OR55" s="59"/>
      <x:c r="OS55" s="59"/>
      <x:c r="OT55" s="59"/>
      <x:c r="OU55" s="59"/>
      <x:c r="OV55" s="59"/>
      <x:c r="OW55" s="59"/>
      <x:c r="OX55" s="59"/>
      <x:c r="OY55" s="59"/>
      <x:c r="OZ55" s="59"/>
      <x:c r="PA55" s="59"/>
      <x:c r="PB55" s="59"/>
      <x:c r="PC55" s="59"/>
      <x:c r="PD55" s="59"/>
      <x:c r="PE55" s="59"/>
      <x:c r="PF55" s="59"/>
      <x:c r="PG55" s="59"/>
      <x:c r="PH55" s="59"/>
      <x:c r="PI55" s="59"/>
      <x:c r="PJ55" s="59"/>
      <x:c r="PK55" s="59"/>
      <x:c r="PL55" s="59"/>
      <x:c r="PM55" s="59"/>
      <x:c r="PN55" s="59"/>
      <x:c r="PO55" s="59"/>
      <x:c r="PP55" s="59"/>
      <x:c r="PQ55" s="59"/>
      <x:c r="PR55" s="59"/>
      <x:c r="PS55" s="59"/>
      <x:c r="PT55" s="59"/>
      <x:c r="PU55" s="59"/>
      <x:c r="PV55" s="59"/>
      <x:c r="PW55" s="59"/>
      <x:c r="PX55" s="59"/>
      <x:c r="PY55" s="59"/>
      <x:c r="PZ55" s="59"/>
      <x:c r="QA55" s="59"/>
      <x:c r="QB55" s="59"/>
      <x:c r="QC55" s="59"/>
      <x:c r="QD55" s="59"/>
      <x:c r="QE55" s="59"/>
      <x:c r="QF55" s="59"/>
      <x:c r="QG55" s="59"/>
      <x:c r="QH55" s="59"/>
      <x:c r="QI55" s="59"/>
      <x:c r="QJ55" s="59"/>
      <x:c r="QK55" s="59"/>
      <x:c r="QL55" s="59"/>
      <x:c r="QM55" s="59"/>
      <x:c r="QN55" s="59"/>
      <x:c r="QO55" s="59"/>
      <x:c r="QP55" s="59"/>
      <x:c r="QQ55" s="59"/>
      <x:c r="QR55" s="59"/>
      <x:c r="QS55" s="59"/>
      <x:c r="QT55" s="59"/>
      <x:c r="QU55" s="59"/>
      <x:c r="QV55" s="59"/>
      <x:c r="QW55" s="59"/>
      <x:c r="QX55" s="59"/>
      <x:c r="QY55" s="59"/>
      <x:c r="QZ55" s="59"/>
      <x:c r="RA55" s="59"/>
      <x:c r="RB55" s="59"/>
      <x:c r="RC55" s="59"/>
      <x:c r="RD55" s="59"/>
      <x:c r="RE55" s="59"/>
      <x:c r="RF55" s="59"/>
      <x:c r="RG55" s="59"/>
      <x:c r="RH55" s="59"/>
      <x:c r="RI55" s="59"/>
      <x:c r="RJ55" s="59"/>
      <x:c r="RK55" s="59"/>
      <x:c r="RL55" s="59"/>
      <x:c r="RM55" s="59"/>
      <x:c r="RN55" s="59"/>
      <x:c r="RO55" s="59"/>
      <x:c r="RP55" s="59"/>
      <x:c r="RQ55" s="59"/>
      <x:c r="RR55" s="59"/>
      <x:c r="RS55" s="59"/>
      <x:c r="RT55" s="59"/>
      <x:c r="RU55" s="59"/>
      <x:c r="RV55" s="59"/>
      <x:c r="RW55" s="59"/>
      <x:c r="RX55" s="59"/>
      <x:c r="RY55" s="59"/>
      <x:c r="RZ55" s="59"/>
      <x:c r="SA55" s="59"/>
      <x:c r="SB55" s="59"/>
      <x:c r="SC55" s="59"/>
      <x:c r="SD55" s="59"/>
      <x:c r="SE55" s="59"/>
      <x:c r="SF55" s="59"/>
    </x:row>
    <x:row r="56">
      <x:c r="A56" s="61" t="str">
        <x:v>D — Core Product Goal</x:v>
      </x:c>
      <x:c r="B56" s="66" t="s">
        <x:v>112</x:v>
      </x:c>
      <x:c r="C56" s="66"/>
      <x:c r="D56" s="63" t="str">
        <x:v>Monthly core product goal</x:v>
      </x:c>
      <x:c r="E56" s="63"/>
      <x:c r="F56" s="63"/>
      <x:c r="G56" s="63" t="s">
        <x:v>122</x:v>
      </x:c>
      <x:c r="H56" s="63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  <x:c r="AA56" s="59"/>
      <x:c r="AB56" s="59"/>
      <x:c r="AC56" s="59"/>
      <x:c r="AD56" s="59"/>
      <x:c r="AE56" s="59"/>
      <x:c r="AF56" s="59"/>
      <x:c r="AG56" s="59"/>
      <x:c r="AH56" s="59"/>
      <x:c r="AI56" s="59"/>
      <x:c r="AJ56" s="59"/>
      <x:c r="AK56" s="59"/>
      <x:c r="AL56" s="59"/>
      <x:c r="AM56" s="59"/>
      <x:c r="AN56" s="59"/>
      <x:c r="AO56" s="59"/>
      <x:c r="AP56" s="59"/>
      <x:c r="AQ56" s="59"/>
      <x:c r="AR56" s="59"/>
      <x:c r="AS56" s="59"/>
      <x:c r="AT56" s="59"/>
      <x:c r="AU56" s="59"/>
      <x:c r="AV56" s="59"/>
      <x:c r="AW56" s="59"/>
      <x:c r="AX56" s="59"/>
      <x:c r="AY56" s="59"/>
      <x:c r="AZ56" s="59"/>
      <x:c r="BA56" s="59"/>
      <x:c r="BB56" s="59"/>
      <x:c r="BC56" s="59"/>
      <x:c r="BD56" s="59"/>
      <x:c r="BE56" s="59"/>
      <x:c r="BF56" s="59"/>
      <x:c r="BG56" s="59"/>
      <x:c r="BH56" s="59"/>
      <x:c r="BI56" s="59"/>
      <x:c r="BJ56" s="59"/>
      <x:c r="BK56" s="59"/>
      <x:c r="BL56" s="59"/>
      <x:c r="BM56" s="59"/>
      <x:c r="BN56" s="59"/>
      <x:c r="BO56" s="59"/>
      <x:c r="BP56" s="59"/>
      <x:c r="BQ56" s="59"/>
      <x:c r="BR56" s="59"/>
      <x:c r="BS56" s="59"/>
      <x:c r="BT56" s="59"/>
      <x:c r="BU56" s="59"/>
      <x:c r="BV56" s="59"/>
      <x:c r="BW56" s="59"/>
      <x:c r="BX56" s="59"/>
      <x:c r="BY56" s="59"/>
      <x:c r="BZ56" s="59"/>
      <x:c r="CA56" s="59"/>
      <x:c r="CB56" s="59"/>
      <x:c r="CC56" s="59"/>
      <x:c r="CD56" s="59"/>
      <x:c r="CE56" s="59"/>
      <x:c r="CF56" s="59"/>
      <x:c r="CG56" s="59"/>
      <x:c r="CH56" s="59"/>
      <x:c r="CI56" s="59"/>
      <x:c r="CJ56" s="59"/>
      <x:c r="CK56" s="59"/>
      <x:c r="CL56" s="59"/>
      <x:c r="CM56" s="59"/>
      <x:c r="CN56" s="59"/>
      <x:c r="CO56" s="59"/>
      <x:c r="CP56" s="59"/>
      <x:c r="CQ56" s="59"/>
      <x:c r="CR56" s="59"/>
      <x:c r="CS56" s="59"/>
      <x:c r="CT56" s="59"/>
      <x:c r="CU56" s="59"/>
      <x:c r="CV56" s="59"/>
      <x:c r="CW56" s="59"/>
      <x:c r="CX56" s="59"/>
      <x:c r="CY56" s="59"/>
      <x:c r="CZ56" s="59"/>
      <x:c r="DA56" s="59"/>
      <x:c r="DB56" s="59"/>
      <x:c r="DC56" s="59"/>
      <x:c r="DD56" s="59"/>
      <x:c r="DE56" s="59"/>
      <x:c r="DF56" s="59"/>
      <x:c r="DG56" s="59"/>
      <x:c r="DH56" s="59"/>
      <x:c r="DI56" s="59"/>
      <x:c r="DJ56" s="59"/>
      <x:c r="DK56" s="59"/>
      <x:c r="DL56" s="59"/>
      <x:c r="DM56" s="59"/>
      <x:c r="DN56" s="59"/>
      <x:c r="DO56" s="59"/>
      <x:c r="DP56" s="59"/>
      <x:c r="DQ56" s="59"/>
      <x:c r="DR56" s="59"/>
      <x:c r="DS56" s="59"/>
      <x:c r="DT56" s="59"/>
      <x:c r="DU56" s="59"/>
      <x:c r="DV56" s="59"/>
      <x:c r="DW56" s="59"/>
      <x:c r="DX56" s="59"/>
      <x:c r="DY56" s="59"/>
      <x:c r="DZ56" s="59"/>
      <x:c r="EA56" s="59"/>
      <x:c r="EB56" s="59"/>
      <x:c r="EC56" s="59"/>
      <x:c r="ED56" s="59"/>
      <x:c r="EE56" s="59"/>
      <x:c r="EF56" s="59"/>
      <x:c r="EG56" s="59"/>
      <x:c r="EH56" s="59"/>
      <x:c r="EI56" s="59"/>
      <x:c r="EJ56" s="59"/>
      <x:c r="EK56" s="59"/>
      <x:c r="EL56" s="59"/>
      <x:c r="EM56" s="59"/>
      <x:c r="EN56" s="59"/>
      <x:c r="EO56" s="59"/>
      <x:c r="EP56" s="59"/>
      <x:c r="EQ56" s="59"/>
      <x:c r="ER56" s="59"/>
      <x:c r="ES56" s="59"/>
      <x:c r="ET56" s="59"/>
      <x:c r="EU56" s="59"/>
      <x:c r="EV56" s="59"/>
      <x:c r="EW56" s="59"/>
      <x:c r="EX56" s="59"/>
      <x:c r="EY56" s="59"/>
      <x:c r="EZ56" s="59"/>
      <x:c r="FA56" s="59"/>
      <x:c r="FB56" s="59"/>
      <x:c r="FC56" s="59"/>
      <x:c r="FD56" s="59"/>
      <x:c r="FE56" s="59"/>
      <x:c r="FF56" s="59"/>
      <x:c r="FG56" s="59"/>
      <x:c r="FH56" s="59"/>
      <x:c r="FI56" s="59"/>
      <x:c r="FJ56" s="59"/>
      <x:c r="FK56" s="59"/>
      <x:c r="FL56" s="59"/>
      <x:c r="FM56" s="59"/>
      <x:c r="FN56" s="59"/>
      <x:c r="FO56" s="59"/>
      <x:c r="FP56" s="59"/>
      <x:c r="FQ56" s="59"/>
      <x:c r="FR56" s="59"/>
      <x:c r="FS56" s="59"/>
      <x:c r="FT56" s="59"/>
      <x:c r="FU56" s="59"/>
      <x:c r="FV56" s="59"/>
      <x:c r="FW56" s="59"/>
      <x:c r="FX56" s="59"/>
      <x:c r="FY56" s="59"/>
      <x:c r="FZ56" s="59"/>
      <x:c r="GA56" s="59"/>
      <x:c r="GB56" s="59"/>
      <x:c r="GC56" s="59"/>
      <x:c r="GD56" s="59"/>
      <x:c r="GE56" s="59"/>
      <x:c r="GF56" s="59"/>
      <x:c r="GG56" s="59"/>
      <x:c r="GH56" s="59"/>
      <x:c r="GI56" s="59"/>
      <x:c r="GJ56" s="59"/>
      <x:c r="GK56" s="59"/>
      <x:c r="GL56" s="59"/>
      <x:c r="GM56" s="59"/>
      <x:c r="GN56" s="59"/>
      <x:c r="GO56" s="59"/>
      <x:c r="GP56" s="59"/>
      <x:c r="GQ56" s="59"/>
      <x:c r="GR56" s="59"/>
      <x:c r="GS56" s="59"/>
      <x:c r="GT56" s="59"/>
      <x:c r="GU56" s="59"/>
      <x:c r="GV56" s="59"/>
      <x:c r="GW56" s="59"/>
      <x:c r="GX56" s="59"/>
      <x:c r="GY56" s="59"/>
      <x:c r="GZ56" s="59"/>
      <x:c r="HA56" s="59"/>
      <x:c r="HB56" s="59"/>
      <x:c r="HC56" s="59"/>
      <x:c r="HD56" s="59"/>
      <x:c r="HE56" s="59"/>
      <x:c r="HF56" s="59"/>
      <x:c r="HG56" s="59"/>
      <x:c r="HH56" s="59"/>
      <x:c r="HI56" s="59"/>
      <x:c r="HJ56" s="59"/>
      <x:c r="HK56" s="59"/>
      <x:c r="HL56" s="59"/>
      <x:c r="HM56" s="59"/>
      <x:c r="HN56" s="59"/>
      <x:c r="HO56" s="59"/>
      <x:c r="HP56" s="59"/>
      <x:c r="HQ56" s="59"/>
      <x:c r="HR56" s="59"/>
      <x:c r="HS56" s="59"/>
      <x:c r="HT56" s="59"/>
      <x:c r="HU56" s="59"/>
      <x:c r="HV56" s="59"/>
      <x:c r="HW56" s="59"/>
      <x:c r="HX56" s="59"/>
      <x:c r="HY56" s="59"/>
      <x:c r="HZ56" s="59"/>
      <x:c r="IA56" s="59"/>
      <x:c r="IB56" s="59"/>
      <x:c r="IC56" s="59"/>
      <x:c r="ID56" s="59"/>
      <x:c r="IE56" s="59"/>
      <x:c r="IF56" s="59"/>
      <x:c r="IG56" s="59"/>
      <x:c r="IH56" s="59"/>
      <x:c r="II56" s="59"/>
      <x:c r="IJ56" s="59"/>
      <x:c r="IK56" s="59"/>
      <x:c r="IL56" s="59"/>
      <x:c r="IM56" s="59"/>
      <x:c r="IN56" s="59"/>
      <x:c r="IO56" s="59"/>
      <x:c r="IP56" s="59"/>
      <x:c r="IQ56" s="59"/>
      <x:c r="IR56" s="59"/>
      <x:c r="IS56" s="59"/>
      <x:c r="IT56" s="59"/>
      <x:c r="IU56" s="59"/>
      <x:c r="IV56" s="59"/>
      <x:c r="IW56" s="59"/>
      <x:c r="IX56" s="59"/>
      <x:c r="IY56" s="59"/>
      <x:c r="IZ56" s="59"/>
      <x:c r="JA56" s="59"/>
      <x:c r="JB56" s="59"/>
      <x:c r="JC56" s="59"/>
      <x:c r="JD56" s="59"/>
      <x:c r="JE56" s="59"/>
      <x:c r="JF56" s="59"/>
      <x:c r="JG56" s="59"/>
      <x:c r="JH56" s="59"/>
      <x:c r="JI56" s="59"/>
      <x:c r="JJ56" s="59"/>
      <x:c r="JK56" s="59"/>
      <x:c r="JL56" s="59"/>
      <x:c r="JM56" s="59"/>
      <x:c r="JN56" s="59"/>
      <x:c r="JO56" s="59"/>
      <x:c r="JP56" s="59"/>
      <x:c r="JQ56" s="59"/>
      <x:c r="JR56" s="59"/>
      <x:c r="JS56" s="59"/>
      <x:c r="JT56" s="59"/>
      <x:c r="JU56" s="59"/>
      <x:c r="JV56" s="59"/>
      <x:c r="JW56" s="59"/>
      <x:c r="JX56" s="59"/>
      <x:c r="JY56" s="59"/>
      <x:c r="JZ56" s="59"/>
      <x:c r="KA56" s="59"/>
      <x:c r="KB56" s="59"/>
      <x:c r="KC56" s="59"/>
      <x:c r="KD56" s="59"/>
      <x:c r="KE56" s="59"/>
      <x:c r="KF56" s="59"/>
      <x:c r="KG56" s="59"/>
      <x:c r="KH56" s="59"/>
      <x:c r="KI56" s="59"/>
      <x:c r="KJ56" s="59"/>
      <x:c r="KK56" s="59"/>
      <x:c r="KL56" s="59"/>
      <x:c r="KM56" s="59"/>
      <x:c r="KN56" s="59"/>
      <x:c r="KO56" s="59"/>
      <x:c r="KP56" s="59"/>
      <x:c r="KQ56" s="59"/>
      <x:c r="KR56" s="59"/>
      <x:c r="KS56" s="59"/>
      <x:c r="KT56" s="59"/>
      <x:c r="KU56" s="59"/>
      <x:c r="KV56" s="59"/>
      <x:c r="KW56" s="59"/>
      <x:c r="KX56" s="59"/>
      <x:c r="KY56" s="59"/>
      <x:c r="KZ56" s="59"/>
      <x:c r="LA56" s="59"/>
      <x:c r="LB56" s="59"/>
      <x:c r="LC56" s="59"/>
      <x:c r="LD56" s="59"/>
      <x:c r="LE56" s="59"/>
      <x:c r="LF56" s="59"/>
      <x:c r="LG56" s="59"/>
      <x:c r="LH56" s="59"/>
      <x:c r="LI56" s="59"/>
      <x:c r="LJ56" s="59"/>
      <x:c r="LK56" s="59"/>
      <x:c r="LL56" s="59"/>
      <x:c r="LM56" s="59"/>
      <x:c r="LN56" s="59"/>
      <x:c r="LO56" s="59"/>
      <x:c r="LP56" s="59"/>
      <x:c r="LQ56" s="59"/>
      <x:c r="LR56" s="59"/>
      <x:c r="LS56" s="59"/>
      <x:c r="LT56" s="59"/>
      <x:c r="LU56" s="59"/>
      <x:c r="LV56" s="59"/>
      <x:c r="LW56" s="59"/>
      <x:c r="LX56" s="59"/>
      <x:c r="LY56" s="59"/>
      <x:c r="LZ56" s="59"/>
      <x:c r="MA56" s="59"/>
      <x:c r="MB56" s="59"/>
      <x:c r="MC56" s="59"/>
      <x:c r="MD56" s="59"/>
      <x:c r="ME56" s="59"/>
      <x:c r="MF56" s="59"/>
      <x:c r="MG56" s="59"/>
      <x:c r="MH56" s="59"/>
      <x:c r="MI56" s="59"/>
      <x:c r="MJ56" s="59"/>
      <x:c r="MK56" s="59"/>
      <x:c r="ML56" s="59"/>
      <x:c r="MM56" s="59"/>
      <x:c r="MN56" s="59"/>
      <x:c r="MO56" s="59"/>
      <x:c r="MP56" s="59"/>
      <x:c r="MQ56" s="59"/>
      <x:c r="MR56" s="59"/>
      <x:c r="MS56" s="59"/>
      <x:c r="MT56" s="59"/>
      <x:c r="MU56" s="59"/>
      <x:c r="MV56" s="59"/>
      <x:c r="MW56" s="59"/>
      <x:c r="MX56" s="59"/>
      <x:c r="MY56" s="59"/>
      <x:c r="MZ56" s="59"/>
      <x:c r="NA56" s="59"/>
      <x:c r="NB56" s="59"/>
      <x:c r="NC56" s="59"/>
      <x:c r="ND56" s="59"/>
      <x:c r="NE56" s="59"/>
      <x:c r="NF56" s="59"/>
      <x:c r="NG56" s="59"/>
      <x:c r="NH56" s="59"/>
      <x:c r="NI56" s="59"/>
      <x:c r="NJ56" s="59"/>
      <x:c r="NK56" s="59"/>
      <x:c r="NL56" s="59"/>
      <x:c r="NM56" s="59"/>
      <x:c r="NN56" s="59"/>
      <x:c r="NO56" s="59"/>
      <x:c r="NP56" s="59"/>
      <x:c r="NQ56" s="59"/>
      <x:c r="NR56" s="59"/>
      <x:c r="NS56" s="59"/>
      <x:c r="NT56" s="59"/>
      <x:c r="NU56" s="59"/>
      <x:c r="NV56" s="59"/>
      <x:c r="NW56" s="59"/>
      <x:c r="NX56" s="59"/>
      <x:c r="NY56" s="59"/>
      <x:c r="NZ56" s="59"/>
      <x:c r="OA56" s="59"/>
      <x:c r="OB56" s="59"/>
      <x:c r="OC56" s="59"/>
      <x:c r="OD56" s="59"/>
      <x:c r="OE56" s="59"/>
      <x:c r="OF56" s="59"/>
      <x:c r="OG56" s="59"/>
      <x:c r="OH56" s="59"/>
      <x:c r="OI56" s="59"/>
      <x:c r="OJ56" s="59"/>
      <x:c r="OK56" s="59"/>
      <x:c r="OL56" s="59"/>
      <x:c r="OM56" s="59"/>
      <x:c r="ON56" s="59"/>
      <x:c r="OO56" s="59"/>
      <x:c r="OP56" s="59"/>
      <x:c r="OQ56" s="59"/>
      <x:c r="OR56" s="59"/>
      <x:c r="OS56" s="59"/>
      <x:c r="OT56" s="59"/>
      <x:c r="OU56" s="59"/>
      <x:c r="OV56" s="59"/>
      <x:c r="OW56" s="59"/>
      <x:c r="OX56" s="59"/>
      <x:c r="OY56" s="59"/>
      <x:c r="OZ56" s="59"/>
      <x:c r="PA56" s="59"/>
      <x:c r="PB56" s="59"/>
      <x:c r="PC56" s="59"/>
      <x:c r="PD56" s="59"/>
      <x:c r="PE56" s="59"/>
      <x:c r="PF56" s="59"/>
      <x:c r="PG56" s="59"/>
      <x:c r="PH56" s="59"/>
      <x:c r="PI56" s="59"/>
      <x:c r="PJ56" s="59"/>
      <x:c r="PK56" s="59"/>
      <x:c r="PL56" s="59"/>
      <x:c r="PM56" s="59"/>
      <x:c r="PN56" s="59"/>
      <x:c r="PO56" s="59"/>
      <x:c r="PP56" s="59"/>
      <x:c r="PQ56" s="59"/>
      <x:c r="PR56" s="59"/>
      <x:c r="PS56" s="59"/>
      <x:c r="PT56" s="59"/>
      <x:c r="PU56" s="59"/>
      <x:c r="PV56" s="59"/>
      <x:c r="PW56" s="59"/>
      <x:c r="PX56" s="59"/>
      <x:c r="PY56" s="59"/>
      <x:c r="PZ56" s="59"/>
      <x:c r="QA56" s="59"/>
      <x:c r="QB56" s="59"/>
      <x:c r="QC56" s="59"/>
      <x:c r="QD56" s="59"/>
      <x:c r="QE56" s="59"/>
      <x:c r="QF56" s="59"/>
      <x:c r="QG56" s="59"/>
      <x:c r="QH56" s="59"/>
      <x:c r="QI56" s="59"/>
      <x:c r="QJ56" s="59"/>
      <x:c r="QK56" s="59"/>
      <x:c r="QL56" s="59"/>
      <x:c r="QM56" s="59"/>
      <x:c r="QN56" s="59"/>
      <x:c r="QO56" s="59"/>
      <x:c r="QP56" s="59"/>
      <x:c r="QQ56" s="59"/>
      <x:c r="QR56" s="59"/>
      <x:c r="QS56" s="59"/>
      <x:c r="QT56" s="59"/>
      <x:c r="QU56" s="59"/>
      <x:c r="QV56" s="59"/>
      <x:c r="QW56" s="59"/>
      <x:c r="QX56" s="59"/>
      <x:c r="QY56" s="59"/>
      <x:c r="QZ56" s="59"/>
      <x:c r="RA56" s="59"/>
      <x:c r="RB56" s="59"/>
      <x:c r="RC56" s="59"/>
      <x:c r="RD56" s="59"/>
      <x:c r="RE56" s="59"/>
      <x:c r="RF56" s="59"/>
      <x:c r="RG56" s="59"/>
      <x:c r="RH56" s="59"/>
      <x:c r="RI56" s="59"/>
      <x:c r="RJ56" s="59"/>
      <x:c r="RK56" s="59"/>
      <x:c r="RL56" s="59"/>
      <x:c r="RM56" s="59"/>
      <x:c r="RN56" s="59"/>
      <x:c r="RO56" s="59"/>
      <x:c r="RP56" s="59"/>
      <x:c r="RQ56" s="59"/>
      <x:c r="RR56" s="59"/>
      <x:c r="RS56" s="59"/>
      <x:c r="RT56" s="59"/>
      <x:c r="RU56" s="59"/>
      <x:c r="RV56" s="59"/>
      <x:c r="RW56" s="59"/>
      <x:c r="RX56" s="59"/>
      <x:c r="RY56" s="59"/>
      <x:c r="RZ56" s="59"/>
      <x:c r="SA56" s="59"/>
      <x:c r="SB56" s="59"/>
      <x:c r="SC56" s="59"/>
      <x:c r="SD56" s="59"/>
      <x:c r="SE56" s="59"/>
      <x:c r="SF56" s="59"/>
    </x:row>
    <x:row r="57" ht="27">
      <x:c r="A57" s="61" t="str">
        <x:v>E — Core Product Completed</x:v>
      </x:c>
      <x:c r="B57" s="66" t="s">
        <x:v>112</x:v>
      </x:c>
      <x:c r="C57" s="66"/>
      <x:c r="D57" s="63" t="str">
        <x:v>Actual core product completions</x:v>
      </x:c>
      <x:c r="E57" s="63"/>
      <x:c r="F57" s="63"/>
      <x:c r="G57" s="63" t="s">
        <x:v>123</x:v>
      </x:c>
      <x:c r="H57" s="63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  <x:c r="AA57" s="59"/>
      <x:c r="AB57" s="59"/>
      <x:c r="AC57" s="59"/>
      <x:c r="AD57" s="59"/>
      <x:c r="AE57" s="59"/>
      <x:c r="AF57" s="59"/>
      <x:c r="AG57" s="59"/>
      <x:c r="AH57" s="59"/>
      <x:c r="AI57" s="59"/>
      <x:c r="AJ57" s="59"/>
      <x:c r="AK57" s="59"/>
      <x:c r="AL57" s="59"/>
      <x:c r="AM57" s="59"/>
      <x:c r="AN57" s="59"/>
      <x:c r="AO57" s="59"/>
      <x:c r="AP57" s="59"/>
      <x:c r="AQ57" s="59"/>
      <x:c r="AR57" s="59"/>
      <x:c r="AS57" s="59"/>
      <x:c r="AT57" s="59"/>
      <x:c r="AU57" s="59"/>
      <x:c r="AV57" s="59"/>
      <x:c r="AW57" s="59"/>
      <x:c r="AX57" s="59"/>
      <x:c r="AY57" s="59"/>
      <x:c r="AZ57" s="59"/>
      <x:c r="BA57" s="59"/>
      <x:c r="BB57" s="59"/>
      <x:c r="BC57" s="59"/>
      <x:c r="BD57" s="59"/>
      <x:c r="BE57" s="59"/>
      <x:c r="BF57" s="59"/>
      <x:c r="BG57" s="59"/>
      <x:c r="BH57" s="59"/>
      <x:c r="BI57" s="59"/>
      <x:c r="BJ57" s="59"/>
      <x:c r="BK57" s="59"/>
      <x:c r="BL57" s="59"/>
      <x:c r="BM57" s="59"/>
      <x:c r="BN57" s="59"/>
      <x:c r="BO57" s="59"/>
      <x:c r="BP57" s="59"/>
      <x:c r="BQ57" s="59"/>
      <x:c r="BR57" s="59"/>
      <x:c r="BS57" s="59"/>
      <x:c r="BT57" s="59"/>
      <x:c r="BU57" s="59"/>
      <x:c r="BV57" s="59"/>
      <x:c r="BW57" s="59"/>
      <x:c r="BX57" s="59"/>
      <x:c r="BY57" s="59"/>
      <x:c r="BZ57" s="59"/>
      <x:c r="CA57" s="59"/>
      <x:c r="CB57" s="59"/>
      <x:c r="CC57" s="59"/>
      <x:c r="CD57" s="59"/>
      <x:c r="CE57" s="59"/>
      <x:c r="CF57" s="59"/>
      <x:c r="CG57" s="59"/>
      <x:c r="CH57" s="59"/>
      <x:c r="CI57" s="59"/>
      <x:c r="CJ57" s="59"/>
      <x:c r="CK57" s="59"/>
      <x:c r="CL57" s="59"/>
      <x:c r="CM57" s="59"/>
      <x:c r="CN57" s="59"/>
      <x:c r="CO57" s="59"/>
      <x:c r="CP57" s="59"/>
      <x:c r="CQ57" s="59"/>
      <x:c r="CR57" s="59"/>
      <x:c r="CS57" s="59"/>
      <x:c r="CT57" s="59"/>
      <x:c r="CU57" s="59"/>
      <x:c r="CV57" s="59"/>
      <x:c r="CW57" s="59"/>
      <x:c r="CX57" s="59"/>
      <x:c r="CY57" s="59"/>
      <x:c r="CZ57" s="59"/>
      <x:c r="DA57" s="59"/>
      <x:c r="DB57" s="59"/>
      <x:c r="DC57" s="59"/>
      <x:c r="DD57" s="59"/>
      <x:c r="DE57" s="59"/>
      <x:c r="DF57" s="59"/>
      <x:c r="DG57" s="59"/>
      <x:c r="DH57" s="59"/>
      <x:c r="DI57" s="59"/>
      <x:c r="DJ57" s="59"/>
      <x:c r="DK57" s="59"/>
      <x:c r="DL57" s="59"/>
      <x:c r="DM57" s="59"/>
      <x:c r="DN57" s="59"/>
      <x:c r="DO57" s="59"/>
      <x:c r="DP57" s="59"/>
      <x:c r="DQ57" s="59"/>
      <x:c r="DR57" s="59"/>
      <x:c r="DS57" s="59"/>
      <x:c r="DT57" s="59"/>
      <x:c r="DU57" s="59"/>
      <x:c r="DV57" s="59"/>
      <x:c r="DW57" s="59"/>
      <x:c r="DX57" s="59"/>
      <x:c r="DY57" s="59"/>
      <x:c r="DZ57" s="59"/>
      <x:c r="EA57" s="59"/>
      <x:c r="EB57" s="59"/>
      <x:c r="EC57" s="59"/>
      <x:c r="ED57" s="59"/>
      <x:c r="EE57" s="59"/>
      <x:c r="EF57" s="59"/>
      <x:c r="EG57" s="59"/>
      <x:c r="EH57" s="59"/>
      <x:c r="EI57" s="59"/>
      <x:c r="EJ57" s="59"/>
      <x:c r="EK57" s="59"/>
      <x:c r="EL57" s="59"/>
      <x:c r="EM57" s="59"/>
      <x:c r="EN57" s="59"/>
      <x:c r="EO57" s="59"/>
      <x:c r="EP57" s="59"/>
      <x:c r="EQ57" s="59"/>
      <x:c r="ER57" s="59"/>
      <x:c r="ES57" s="59"/>
      <x:c r="ET57" s="59"/>
      <x:c r="EU57" s="59"/>
      <x:c r="EV57" s="59"/>
      <x:c r="EW57" s="59"/>
      <x:c r="EX57" s="59"/>
      <x:c r="EY57" s="59"/>
      <x:c r="EZ57" s="59"/>
      <x:c r="FA57" s="59"/>
      <x:c r="FB57" s="59"/>
      <x:c r="FC57" s="59"/>
      <x:c r="FD57" s="59"/>
      <x:c r="FE57" s="59"/>
      <x:c r="FF57" s="59"/>
      <x:c r="FG57" s="59"/>
      <x:c r="FH57" s="59"/>
      <x:c r="FI57" s="59"/>
      <x:c r="FJ57" s="59"/>
      <x:c r="FK57" s="59"/>
      <x:c r="FL57" s="59"/>
      <x:c r="FM57" s="59"/>
      <x:c r="FN57" s="59"/>
      <x:c r="FO57" s="59"/>
      <x:c r="FP57" s="59"/>
      <x:c r="FQ57" s="59"/>
      <x:c r="FR57" s="59"/>
      <x:c r="FS57" s="59"/>
      <x:c r="FT57" s="59"/>
      <x:c r="FU57" s="59"/>
      <x:c r="FV57" s="59"/>
      <x:c r="FW57" s="59"/>
      <x:c r="FX57" s="59"/>
      <x:c r="FY57" s="59"/>
      <x:c r="FZ57" s="59"/>
      <x:c r="GA57" s="59"/>
      <x:c r="GB57" s="59"/>
      <x:c r="GC57" s="59"/>
      <x:c r="GD57" s="59"/>
      <x:c r="GE57" s="59"/>
      <x:c r="GF57" s="59"/>
      <x:c r="GG57" s="59"/>
      <x:c r="GH57" s="59"/>
      <x:c r="GI57" s="59"/>
      <x:c r="GJ57" s="59"/>
      <x:c r="GK57" s="59"/>
      <x:c r="GL57" s="59"/>
      <x:c r="GM57" s="59"/>
      <x:c r="GN57" s="59"/>
      <x:c r="GO57" s="59"/>
      <x:c r="GP57" s="59"/>
      <x:c r="GQ57" s="59"/>
      <x:c r="GR57" s="59"/>
      <x:c r="GS57" s="59"/>
      <x:c r="GT57" s="59"/>
      <x:c r="GU57" s="59"/>
      <x:c r="GV57" s="59"/>
      <x:c r="GW57" s="59"/>
      <x:c r="GX57" s="59"/>
      <x:c r="GY57" s="59"/>
      <x:c r="GZ57" s="59"/>
      <x:c r="HA57" s="59"/>
      <x:c r="HB57" s="59"/>
      <x:c r="HC57" s="59"/>
      <x:c r="HD57" s="59"/>
      <x:c r="HE57" s="59"/>
      <x:c r="HF57" s="59"/>
      <x:c r="HG57" s="59"/>
      <x:c r="HH57" s="59"/>
      <x:c r="HI57" s="59"/>
      <x:c r="HJ57" s="59"/>
      <x:c r="HK57" s="59"/>
      <x:c r="HL57" s="59"/>
      <x:c r="HM57" s="59"/>
      <x:c r="HN57" s="59"/>
      <x:c r="HO57" s="59"/>
      <x:c r="HP57" s="59"/>
      <x:c r="HQ57" s="59"/>
      <x:c r="HR57" s="59"/>
      <x:c r="HS57" s="59"/>
      <x:c r="HT57" s="59"/>
      <x:c r="HU57" s="59"/>
      <x:c r="HV57" s="59"/>
      <x:c r="HW57" s="59"/>
      <x:c r="HX57" s="59"/>
      <x:c r="HY57" s="59"/>
      <x:c r="HZ57" s="59"/>
      <x:c r="IA57" s="59"/>
      <x:c r="IB57" s="59"/>
      <x:c r="IC57" s="59"/>
      <x:c r="ID57" s="59"/>
      <x:c r="IE57" s="59"/>
      <x:c r="IF57" s="59"/>
      <x:c r="IG57" s="59"/>
      <x:c r="IH57" s="59"/>
      <x:c r="II57" s="59"/>
      <x:c r="IJ57" s="59"/>
      <x:c r="IK57" s="59"/>
      <x:c r="IL57" s="59"/>
      <x:c r="IM57" s="59"/>
      <x:c r="IN57" s="59"/>
      <x:c r="IO57" s="59"/>
      <x:c r="IP57" s="59"/>
      <x:c r="IQ57" s="59"/>
      <x:c r="IR57" s="59"/>
      <x:c r="IS57" s="59"/>
      <x:c r="IT57" s="59"/>
      <x:c r="IU57" s="59"/>
      <x:c r="IV57" s="59"/>
      <x:c r="IW57" s="59"/>
      <x:c r="IX57" s="59"/>
      <x:c r="IY57" s="59"/>
      <x:c r="IZ57" s="59"/>
      <x:c r="JA57" s="59"/>
      <x:c r="JB57" s="59"/>
      <x:c r="JC57" s="59"/>
      <x:c r="JD57" s="59"/>
      <x:c r="JE57" s="59"/>
      <x:c r="JF57" s="59"/>
      <x:c r="JG57" s="59"/>
      <x:c r="JH57" s="59"/>
      <x:c r="JI57" s="59"/>
      <x:c r="JJ57" s="59"/>
      <x:c r="JK57" s="59"/>
      <x:c r="JL57" s="59"/>
      <x:c r="JM57" s="59"/>
      <x:c r="JN57" s="59"/>
      <x:c r="JO57" s="59"/>
      <x:c r="JP57" s="59"/>
      <x:c r="JQ57" s="59"/>
      <x:c r="JR57" s="59"/>
      <x:c r="JS57" s="59"/>
      <x:c r="JT57" s="59"/>
      <x:c r="JU57" s="59"/>
      <x:c r="JV57" s="59"/>
      <x:c r="JW57" s="59"/>
      <x:c r="JX57" s="59"/>
      <x:c r="JY57" s="59"/>
      <x:c r="JZ57" s="59"/>
      <x:c r="KA57" s="59"/>
      <x:c r="KB57" s="59"/>
      <x:c r="KC57" s="59"/>
      <x:c r="KD57" s="59"/>
      <x:c r="KE57" s="59"/>
      <x:c r="KF57" s="59"/>
      <x:c r="KG57" s="59"/>
      <x:c r="KH57" s="59"/>
      <x:c r="KI57" s="59"/>
      <x:c r="KJ57" s="59"/>
      <x:c r="KK57" s="59"/>
      <x:c r="KL57" s="59"/>
      <x:c r="KM57" s="59"/>
      <x:c r="KN57" s="59"/>
      <x:c r="KO57" s="59"/>
      <x:c r="KP57" s="59"/>
      <x:c r="KQ57" s="59"/>
      <x:c r="KR57" s="59"/>
      <x:c r="KS57" s="59"/>
      <x:c r="KT57" s="59"/>
      <x:c r="KU57" s="59"/>
      <x:c r="KV57" s="59"/>
      <x:c r="KW57" s="59"/>
      <x:c r="KX57" s="59"/>
      <x:c r="KY57" s="59"/>
      <x:c r="KZ57" s="59"/>
      <x:c r="LA57" s="59"/>
      <x:c r="LB57" s="59"/>
      <x:c r="LC57" s="59"/>
      <x:c r="LD57" s="59"/>
      <x:c r="LE57" s="59"/>
      <x:c r="LF57" s="59"/>
      <x:c r="LG57" s="59"/>
      <x:c r="LH57" s="59"/>
      <x:c r="LI57" s="59"/>
      <x:c r="LJ57" s="59"/>
      <x:c r="LK57" s="59"/>
      <x:c r="LL57" s="59"/>
      <x:c r="LM57" s="59"/>
      <x:c r="LN57" s="59"/>
      <x:c r="LO57" s="59"/>
      <x:c r="LP57" s="59"/>
      <x:c r="LQ57" s="59"/>
      <x:c r="LR57" s="59"/>
      <x:c r="LS57" s="59"/>
      <x:c r="LT57" s="59"/>
      <x:c r="LU57" s="59"/>
      <x:c r="LV57" s="59"/>
      <x:c r="LW57" s="59"/>
      <x:c r="LX57" s="59"/>
      <x:c r="LY57" s="59"/>
      <x:c r="LZ57" s="59"/>
      <x:c r="MA57" s="59"/>
      <x:c r="MB57" s="59"/>
      <x:c r="MC57" s="59"/>
      <x:c r="MD57" s="59"/>
      <x:c r="ME57" s="59"/>
      <x:c r="MF57" s="59"/>
      <x:c r="MG57" s="59"/>
      <x:c r="MH57" s="59"/>
      <x:c r="MI57" s="59"/>
      <x:c r="MJ57" s="59"/>
      <x:c r="MK57" s="59"/>
      <x:c r="ML57" s="59"/>
      <x:c r="MM57" s="59"/>
      <x:c r="MN57" s="59"/>
      <x:c r="MO57" s="59"/>
      <x:c r="MP57" s="59"/>
      <x:c r="MQ57" s="59"/>
      <x:c r="MR57" s="59"/>
      <x:c r="MS57" s="59"/>
      <x:c r="MT57" s="59"/>
      <x:c r="MU57" s="59"/>
      <x:c r="MV57" s="59"/>
      <x:c r="MW57" s="59"/>
      <x:c r="MX57" s="59"/>
      <x:c r="MY57" s="59"/>
      <x:c r="MZ57" s="59"/>
      <x:c r="NA57" s="59"/>
      <x:c r="NB57" s="59"/>
      <x:c r="NC57" s="59"/>
      <x:c r="ND57" s="59"/>
      <x:c r="NE57" s="59"/>
      <x:c r="NF57" s="59"/>
      <x:c r="NG57" s="59"/>
      <x:c r="NH57" s="59"/>
      <x:c r="NI57" s="59"/>
      <x:c r="NJ57" s="59"/>
      <x:c r="NK57" s="59"/>
      <x:c r="NL57" s="59"/>
      <x:c r="NM57" s="59"/>
      <x:c r="NN57" s="59"/>
      <x:c r="NO57" s="59"/>
      <x:c r="NP57" s="59"/>
      <x:c r="NQ57" s="59"/>
      <x:c r="NR57" s="59"/>
      <x:c r="NS57" s="59"/>
      <x:c r="NT57" s="59"/>
      <x:c r="NU57" s="59"/>
      <x:c r="NV57" s="59"/>
      <x:c r="NW57" s="59"/>
      <x:c r="NX57" s="59"/>
      <x:c r="NY57" s="59"/>
      <x:c r="NZ57" s="59"/>
      <x:c r="OA57" s="59"/>
      <x:c r="OB57" s="59"/>
      <x:c r="OC57" s="59"/>
      <x:c r="OD57" s="59"/>
      <x:c r="OE57" s="59"/>
      <x:c r="OF57" s="59"/>
      <x:c r="OG57" s="59"/>
      <x:c r="OH57" s="59"/>
      <x:c r="OI57" s="59"/>
      <x:c r="OJ57" s="59"/>
      <x:c r="OK57" s="59"/>
      <x:c r="OL57" s="59"/>
      <x:c r="OM57" s="59"/>
      <x:c r="ON57" s="59"/>
      <x:c r="OO57" s="59"/>
      <x:c r="OP57" s="59"/>
      <x:c r="OQ57" s="59"/>
      <x:c r="OR57" s="59"/>
      <x:c r="OS57" s="59"/>
      <x:c r="OT57" s="59"/>
      <x:c r="OU57" s="59"/>
      <x:c r="OV57" s="59"/>
      <x:c r="OW57" s="59"/>
      <x:c r="OX57" s="59"/>
      <x:c r="OY57" s="59"/>
      <x:c r="OZ57" s="59"/>
      <x:c r="PA57" s="59"/>
      <x:c r="PB57" s="59"/>
      <x:c r="PC57" s="59"/>
      <x:c r="PD57" s="59"/>
      <x:c r="PE57" s="59"/>
      <x:c r="PF57" s="59"/>
      <x:c r="PG57" s="59"/>
      <x:c r="PH57" s="59"/>
      <x:c r="PI57" s="59"/>
      <x:c r="PJ57" s="59"/>
      <x:c r="PK57" s="59"/>
      <x:c r="PL57" s="59"/>
      <x:c r="PM57" s="59"/>
      <x:c r="PN57" s="59"/>
      <x:c r="PO57" s="59"/>
      <x:c r="PP57" s="59"/>
      <x:c r="PQ57" s="59"/>
      <x:c r="PR57" s="59"/>
      <x:c r="PS57" s="59"/>
      <x:c r="PT57" s="59"/>
      <x:c r="PU57" s="59"/>
      <x:c r="PV57" s="59"/>
      <x:c r="PW57" s="59"/>
      <x:c r="PX57" s="59"/>
      <x:c r="PY57" s="59"/>
      <x:c r="PZ57" s="59"/>
      <x:c r="QA57" s="59"/>
      <x:c r="QB57" s="59"/>
      <x:c r="QC57" s="59"/>
      <x:c r="QD57" s="59"/>
      <x:c r="QE57" s="59"/>
      <x:c r="QF57" s="59"/>
      <x:c r="QG57" s="59"/>
      <x:c r="QH57" s="59"/>
      <x:c r="QI57" s="59"/>
      <x:c r="QJ57" s="59"/>
      <x:c r="QK57" s="59"/>
      <x:c r="QL57" s="59"/>
      <x:c r="QM57" s="59"/>
      <x:c r="QN57" s="59"/>
      <x:c r="QO57" s="59"/>
      <x:c r="QP57" s="59"/>
      <x:c r="QQ57" s="59"/>
      <x:c r="QR57" s="59"/>
      <x:c r="QS57" s="59"/>
      <x:c r="QT57" s="59"/>
      <x:c r="QU57" s="59"/>
      <x:c r="QV57" s="59"/>
      <x:c r="QW57" s="59"/>
      <x:c r="QX57" s="59"/>
      <x:c r="QY57" s="59"/>
      <x:c r="QZ57" s="59"/>
      <x:c r="RA57" s="59"/>
      <x:c r="RB57" s="59"/>
      <x:c r="RC57" s="59"/>
      <x:c r="RD57" s="59"/>
      <x:c r="RE57" s="59"/>
      <x:c r="RF57" s="59"/>
      <x:c r="RG57" s="59"/>
      <x:c r="RH57" s="59"/>
      <x:c r="RI57" s="59"/>
      <x:c r="RJ57" s="59"/>
      <x:c r="RK57" s="59"/>
      <x:c r="RL57" s="59"/>
      <x:c r="RM57" s="59"/>
      <x:c r="RN57" s="59"/>
      <x:c r="RO57" s="59"/>
      <x:c r="RP57" s="59"/>
      <x:c r="RQ57" s="59"/>
      <x:c r="RR57" s="59"/>
      <x:c r="RS57" s="59"/>
      <x:c r="RT57" s="59"/>
      <x:c r="RU57" s="59"/>
      <x:c r="RV57" s="59"/>
      <x:c r="RW57" s="59"/>
      <x:c r="RX57" s="59"/>
      <x:c r="RY57" s="59"/>
      <x:c r="RZ57" s="59"/>
      <x:c r="SA57" s="59"/>
      <x:c r="SB57" s="59"/>
      <x:c r="SC57" s="59"/>
      <x:c r="SD57" s="59"/>
      <x:c r="SE57" s="59"/>
      <x:c r="SF57" s="59"/>
    </x:row>
    <x:row r="58" ht="27">
      <x:c r="A58" s="61" t="str">
        <x:v>F — Core Product Goal %</x:v>
      </x:c>
      <x:c r="B58" s="68" t="s">
        <x:v>119</x:v>
      </x:c>
      <x:c r="C58" s="68"/>
      <x:c r="D58" s="63" t="s">
        <x:v>120</x:v>
      </x:c>
      <x:c r="E58" s="63"/>
      <x:c r="F58" s="63"/>
      <x:c r="G58" s="63" t="s">
        <x:v>124</x:v>
      </x:c>
      <x:c r="H58" s="63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  <x:c r="AA58" s="59"/>
      <x:c r="AB58" s="59"/>
      <x:c r="AC58" s="59"/>
      <x:c r="AD58" s="59"/>
      <x:c r="AE58" s="59"/>
      <x:c r="AF58" s="59"/>
      <x:c r="AG58" s="59"/>
      <x:c r="AH58" s="59"/>
      <x:c r="AI58" s="59"/>
      <x:c r="AJ58" s="59"/>
      <x:c r="AK58" s="59"/>
      <x:c r="AL58" s="59"/>
      <x:c r="AM58" s="59"/>
      <x:c r="AN58" s="59"/>
      <x:c r="AO58" s="59"/>
      <x:c r="AP58" s="59"/>
      <x:c r="AQ58" s="59"/>
      <x:c r="AR58" s="59"/>
      <x:c r="AS58" s="59"/>
      <x:c r="AT58" s="59"/>
      <x:c r="AU58" s="59"/>
      <x:c r="AV58" s="59"/>
      <x:c r="AW58" s="59"/>
      <x:c r="AX58" s="59"/>
      <x:c r="AY58" s="59"/>
      <x:c r="AZ58" s="59"/>
      <x:c r="BA58" s="59"/>
      <x:c r="BB58" s="59"/>
      <x:c r="BC58" s="59"/>
      <x:c r="BD58" s="59"/>
      <x:c r="BE58" s="59"/>
      <x:c r="BF58" s="59"/>
      <x:c r="BG58" s="59"/>
      <x:c r="BH58" s="59"/>
      <x:c r="BI58" s="59"/>
      <x:c r="BJ58" s="59"/>
      <x:c r="BK58" s="59"/>
      <x:c r="BL58" s="59"/>
      <x:c r="BM58" s="59"/>
      <x:c r="BN58" s="59"/>
      <x:c r="BO58" s="59"/>
      <x:c r="BP58" s="59"/>
      <x:c r="BQ58" s="59"/>
      <x:c r="BR58" s="59"/>
      <x:c r="BS58" s="59"/>
      <x:c r="BT58" s="59"/>
      <x:c r="BU58" s="59"/>
      <x:c r="BV58" s="59"/>
      <x:c r="BW58" s="59"/>
      <x:c r="BX58" s="59"/>
      <x:c r="BY58" s="59"/>
      <x:c r="BZ58" s="59"/>
      <x:c r="CA58" s="59"/>
      <x:c r="CB58" s="59"/>
      <x:c r="CC58" s="59"/>
      <x:c r="CD58" s="59"/>
      <x:c r="CE58" s="59"/>
      <x:c r="CF58" s="59"/>
      <x:c r="CG58" s="59"/>
      <x:c r="CH58" s="59"/>
      <x:c r="CI58" s="59"/>
      <x:c r="CJ58" s="59"/>
      <x:c r="CK58" s="59"/>
      <x:c r="CL58" s="59"/>
      <x:c r="CM58" s="59"/>
      <x:c r="CN58" s="59"/>
      <x:c r="CO58" s="59"/>
      <x:c r="CP58" s="59"/>
      <x:c r="CQ58" s="59"/>
      <x:c r="CR58" s="59"/>
      <x:c r="CS58" s="59"/>
      <x:c r="CT58" s="59"/>
      <x:c r="CU58" s="59"/>
      <x:c r="CV58" s="59"/>
      <x:c r="CW58" s="59"/>
      <x:c r="CX58" s="59"/>
      <x:c r="CY58" s="59"/>
      <x:c r="CZ58" s="59"/>
      <x:c r="DA58" s="59"/>
      <x:c r="DB58" s="59"/>
      <x:c r="DC58" s="59"/>
      <x:c r="DD58" s="59"/>
      <x:c r="DE58" s="59"/>
      <x:c r="DF58" s="59"/>
      <x:c r="DG58" s="59"/>
      <x:c r="DH58" s="59"/>
      <x:c r="DI58" s="59"/>
      <x:c r="DJ58" s="59"/>
      <x:c r="DK58" s="59"/>
      <x:c r="DL58" s="59"/>
      <x:c r="DM58" s="59"/>
      <x:c r="DN58" s="59"/>
      <x:c r="DO58" s="59"/>
      <x:c r="DP58" s="59"/>
      <x:c r="DQ58" s="59"/>
      <x:c r="DR58" s="59"/>
      <x:c r="DS58" s="59"/>
      <x:c r="DT58" s="59"/>
      <x:c r="DU58" s="59"/>
      <x:c r="DV58" s="59"/>
      <x:c r="DW58" s="59"/>
      <x:c r="DX58" s="59"/>
      <x:c r="DY58" s="59"/>
      <x:c r="DZ58" s="59"/>
      <x:c r="EA58" s="59"/>
      <x:c r="EB58" s="59"/>
      <x:c r="EC58" s="59"/>
      <x:c r="ED58" s="59"/>
      <x:c r="EE58" s="59"/>
      <x:c r="EF58" s="59"/>
      <x:c r="EG58" s="59"/>
      <x:c r="EH58" s="59"/>
      <x:c r="EI58" s="59"/>
      <x:c r="EJ58" s="59"/>
      <x:c r="EK58" s="59"/>
      <x:c r="EL58" s="59"/>
      <x:c r="EM58" s="59"/>
      <x:c r="EN58" s="59"/>
      <x:c r="EO58" s="59"/>
      <x:c r="EP58" s="59"/>
      <x:c r="EQ58" s="59"/>
      <x:c r="ER58" s="59"/>
      <x:c r="ES58" s="59"/>
      <x:c r="ET58" s="59"/>
      <x:c r="EU58" s="59"/>
      <x:c r="EV58" s="59"/>
      <x:c r="EW58" s="59"/>
      <x:c r="EX58" s="59"/>
      <x:c r="EY58" s="59"/>
      <x:c r="EZ58" s="59"/>
      <x:c r="FA58" s="59"/>
      <x:c r="FB58" s="59"/>
      <x:c r="FC58" s="59"/>
      <x:c r="FD58" s="59"/>
      <x:c r="FE58" s="59"/>
      <x:c r="FF58" s="59"/>
      <x:c r="FG58" s="59"/>
      <x:c r="FH58" s="59"/>
      <x:c r="FI58" s="59"/>
      <x:c r="FJ58" s="59"/>
      <x:c r="FK58" s="59"/>
      <x:c r="FL58" s="59"/>
      <x:c r="FM58" s="59"/>
      <x:c r="FN58" s="59"/>
      <x:c r="FO58" s="59"/>
      <x:c r="FP58" s="59"/>
      <x:c r="FQ58" s="59"/>
      <x:c r="FR58" s="59"/>
      <x:c r="FS58" s="59"/>
      <x:c r="FT58" s="59"/>
      <x:c r="FU58" s="59"/>
      <x:c r="FV58" s="59"/>
      <x:c r="FW58" s="59"/>
      <x:c r="FX58" s="59"/>
      <x:c r="FY58" s="59"/>
      <x:c r="FZ58" s="59"/>
      <x:c r="GA58" s="59"/>
      <x:c r="GB58" s="59"/>
      <x:c r="GC58" s="59"/>
      <x:c r="GD58" s="59"/>
      <x:c r="GE58" s="59"/>
      <x:c r="GF58" s="59"/>
      <x:c r="GG58" s="59"/>
      <x:c r="GH58" s="59"/>
      <x:c r="GI58" s="59"/>
      <x:c r="GJ58" s="59"/>
      <x:c r="GK58" s="59"/>
      <x:c r="GL58" s="59"/>
      <x:c r="GM58" s="59"/>
      <x:c r="GN58" s="59"/>
      <x:c r="GO58" s="59"/>
      <x:c r="GP58" s="59"/>
      <x:c r="GQ58" s="59"/>
      <x:c r="GR58" s="59"/>
      <x:c r="GS58" s="59"/>
      <x:c r="GT58" s="59"/>
      <x:c r="GU58" s="59"/>
      <x:c r="GV58" s="59"/>
      <x:c r="GW58" s="59"/>
      <x:c r="GX58" s="59"/>
      <x:c r="GY58" s="59"/>
      <x:c r="GZ58" s="59"/>
      <x:c r="HA58" s="59"/>
      <x:c r="HB58" s="59"/>
      <x:c r="HC58" s="59"/>
      <x:c r="HD58" s="59"/>
      <x:c r="HE58" s="59"/>
      <x:c r="HF58" s="59"/>
      <x:c r="HG58" s="59"/>
      <x:c r="HH58" s="59"/>
      <x:c r="HI58" s="59"/>
      <x:c r="HJ58" s="59"/>
      <x:c r="HK58" s="59"/>
      <x:c r="HL58" s="59"/>
      <x:c r="HM58" s="59"/>
      <x:c r="HN58" s="59"/>
      <x:c r="HO58" s="59"/>
      <x:c r="HP58" s="59"/>
      <x:c r="HQ58" s="59"/>
      <x:c r="HR58" s="59"/>
      <x:c r="HS58" s="59"/>
      <x:c r="HT58" s="59"/>
      <x:c r="HU58" s="59"/>
      <x:c r="HV58" s="59"/>
      <x:c r="HW58" s="59"/>
      <x:c r="HX58" s="59"/>
      <x:c r="HY58" s="59"/>
      <x:c r="HZ58" s="59"/>
      <x:c r="IA58" s="59"/>
      <x:c r="IB58" s="59"/>
      <x:c r="IC58" s="59"/>
      <x:c r="ID58" s="59"/>
      <x:c r="IE58" s="59"/>
      <x:c r="IF58" s="59"/>
      <x:c r="IG58" s="59"/>
      <x:c r="IH58" s="59"/>
      <x:c r="II58" s="59"/>
      <x:c r="IJ58" s="59"/>
      <x:c r="IK58" s="59"/>
      <x:c r="IL58" s="59"/>
      <x:c r="IM58" s="59"/>
      <x:c r="IN58" s="59"/>
      <x:c r="IO58" s="59"/>
      <x:c r="IP58" s="59"/>
      <x:c r="IQ58" s="59"/>
      <x:c r="IR58" s="59"/>
      <x:c r="IS58" s="59"/>
      <x:c r="IT58" s="59"/>
      <x:c r="IU58" s="59"/>
      <x:c r="IV58" s="59"/>
      <x:c r="IW58" s="59"/>
      <x:c r="IX58" s="59"/>
      <x:c r="IY58" s="59"/>
      <x:c r="IZ58" s="59"/>
      <x:c r="JA58" s="59"/>
      <x:c r="JB58" s="59"/>
      <x:c r="JC58" s="59"/>
      <x:c r="JD58" s="59"/>
      <x:c r="JE58" s="59"/>
      <x:c r="JF58" s="59"/>
      <x:c r="JG58" s="59"/>
      <x:c r="JH58" s="59"/>
      <x:c r="JI58" s="59"/>
      <x:c r="JJ58" s="59"/>
      <x:c r="JK58" s="59"/>
      <x:c r="JL58" s="59"/>
      <x:c r="JM58" s="59"/>
      <x:c r="JN58" s="59"/>
      <x:c r="JO58" s="59"/>
      <x:c r="JP58" s="59"/>
      <x:c r="JQ58" s="59"/>
      <x:c r="JR58" s="59"/>
      <x:c r="JS58" s="59"/>
      <x:c r="JT58" s="59"/>
      <x:c r="JU58" s="59"/>
      <x:c r="JV58" s="59"/>
      <x:c r="JW58" s="59"/>
      <x:c r="JX58" s="59"/>
      <x:c r="JY58" s="59"/>
      <x:c r="JZ58" s="59"/>
      <x:c r="KA58" s="59"/>
      <x:c r="KB58" s="59"/>
      <x:c r="KC58" s="59"/>
      <x:c r="KD58" s="59"/>
      <x:c r="KE58" s="59"/>
      <x:c r="KF58" s="59"/>
      <x:c r="KG58" s="59"/>
      <x:c r="KH58" s="59"/>
      <x:c r="KI58" s="59"/>
      <x:c r="KJ58" s="59"/>
      <x:c r="KK58" s="59"/>
      <x:c r="KL58" s="59"/>
      <x:c r="KM58" s="59"/>
      <x:c r="KN58" s="59"/>
      <x:c r="KO58" s="59"/>
      <x:c r="KP58" s="59"/>
      <x:c r="KQ58" s="59"/>
      <x:c r="KR58" s="59"/>
      <x:c r="KS58" s="59"/>
      <x:c r="KT58" s="59"/>
      <x:c r="KU58" s="59"/>
      <x:c r="KV58" s="59"/>
      <x:c r="KW58" s="59"/>
      <x:c r="KX58" s="59"/>
      <x:c r="KY58" s="59"/>
      <x:c r="KZ58" s="59"/>
      <x:c r="LA58" s="59"/>
      <x:c r="LB58" s="59"/>
      <x:c r="LC58" s="59"/>
      <x:c r="LD58" s="59"/>
      <x:c r="LE58" s="59"/>
      <x:c r="LF58" s="59"/>
      <x:c r="LG58" s="59"/>
      <x:c r="LH58" s="59"/>
      <x:c r="LI58" s="59"/>
      <x:c r="LJ58" s="59"/>
      <x:c r="LK58" s="59"/>
      <x:c r="LL58" s="59"/>
      <x:c r="LM58" s="59"/>
      <x:c r="LN58" s="59"/>
      <x:c r="LO58" s="59"/>
      <x:c r="LP58" s="59"/>
      <x:c r="LQ58" s="59"/>
      <x:c r="LR58" s="59"/>
      <x:c r="LS58" s="59"/>
      <x:c r="LT58" s="59"/>
      <x:c r="LU58" s="59"/>
      <x:c r="LV58" s="59"/>
      <x:c r="LW58" s="59"/>
      <x:c r="LX58" s="59"/>
      <x:c r="LY58" s="59"/>
      <x:c r="LZ58" s="59"/>
      <x:c r="MA58" s="59"/>
      <x:c r="MB58" s="59"/>
      <x:c r="MC58" s="59"/>
      <x:c r="MD58" s="59"/>
      <x:c r="ME58" s="59"/>
      <x:c r="MF58" s="59"/>
      <x:c r="MG58" s="59"/>
      <x:c r="MH58" s="59"/>
      <x:c r="MI58" s="59"/>
      <x:c r="MJ58" s="59"/>
      <x:c r="MK58" s="59"/>
      <x:c r="ML58" s="59"/>
      <x:c r="MM58" s="59"/>
      <x:c r="MN58" s="59"/>
      <x:c r="MO58" s="59"/>
      <x:c r="MP58" s="59"/>
      <x:c r="MQ58" s="59"/>
      <x:c r="MR58" s="59"/>
      <x:c r="MS58" s="59"/>
      <x:c r="MT58" s="59"/>
      <x:c r="MU58" s="59"/>
      <x:c r="MV58" s="59"/>
      <x:c r="MW58" s="59"/>
      <x:c r="MX58" s="59"/>
      <x:c r="MY58" s="59"/>
      <x:c r="MZ58" s="59"/>
      <x:c r="NA58" s="59"/>
      <x:c r="NB58" s="59"/>
      <x:c r="NC58" s="59"/>
      <x:c r="ND58" s="59"/>
      <x:c r="NE58" s="59"/>
      <x:c r="NF58" s="59"/>
      <x:c r="NG58" s="59"/>
      <x:c r="NH58" s="59"/>
      <x:c r="NI58" s="59"/>
      <x:c r="NJ58" s="59"/>
      <x:c r="NK58" s="59"/>
      <x:c r="NL58" s="59"/>
      <x:c r="NM58" s="59"/>
      <x:c r="NN58" s="59"/>
      <x:c r="NO58" s="59"/>
      <x:c r="NP58" s="59"/>
      <x:c r="NQ58" s="59"/>
      <x:c r="NR58" s="59"/>
      <x:c r="NS58" s="59"/>
      <x:c r="NT58" s="59"/>
      <x:c r="NU58" s="59"/>
      <x:c r="NV58" s="59"/>
      <x:c r="NW58" s="59"/>
      <x:c r="NX58" s="59"/>
      <x:c r="NY58" s="59"/>
      <x:c r="NZ58" s="59"/>
      <x:c r="OA58" s="59"/>
      <x:c r="OB58" s="59"/>
      <x:c r="OC58" s="59"/>
      <x:c r="OD58" s="59"/>
      <x:c r="OE58" s="59"/>
      <x:c r="OF58" s="59"/>
      <x:c r="OG58" s="59"/>
      <x:c r="OH58" s="59"/>
      <x:c r="OI58" s="59"/>
      <x:c r="OJ58" s="59"/>
      <x:c r="OK58" s="59"/>
      <x:c r="OL58" s="59"/>
      <x:c r="OM58" s="59"/>
      <x:c r="ON58" s="59"/>
      <x:c r="OO58" s="59"/>
      <x:c r="OP58" s="59"/>
      <x:c r="OQ58" s="59"/>
      <x:c r="OR58" s="59"/>
      <x:c r="OS58" s="59"/>
      <x:c r="OT58" s="59"/>
      <x:c r="OU58" s="59"/>
      <x:c r="OV58" s="59"/>
      <x:c r="OW58" s="59"/>
      <x:c r="OX58" s="59"/>
      <x:c r="OY58" s="59"/>
      <x:c r="OZ58" s="59"/>
      <x:c r="PA58" s="59"/>
      <x:c r="PB58" s="59"/>
      <x:c r="PC58" s="59"/>
      <x:c r="PD58" s="59"/>
      <x:c r="PE58" s="59"/>
      <x:c r="PF58" s="59"/>
      <x:c r="PG58" s="59"/>
      <x:c r="PH58" s="59"/>
      <x:c r="PI58" s="59"/>
      <x:c r="PJ58" s="59"/>
      <x:c r="PK58" s="59"/>
      <x:c r="PL58" s="59"/>
      <x:c r="PM58" s="59"/>
      <x:c r="PN58" s="59"/>
      <x:c r="PO58" s="59"/>
      <x:c r="PP58" s="59"/>
      <x:c r="PQ58" s="59"/>
      <x:c r="PR58" s="59"/>
      <x:c r="PS58" s="59"/>
      <x:c r="PT58" s="59"/>
      <x:c r="PU58" s="59"/>
      <x:c r="PV58" s="59"/>
      <x:c r="PW58" s="59"/>
      <x:c r="PX58" s="59"/>
      <x:c r="PY58" s="59"/>
      <x:c r="PZ58" s="59"/>
      <x:c r="QA58" s="59"/>
      <x:c r="QB58" s="59"/>
      <x:c r="QC58" s="59"/>
      <x:c r="QD58" s="59"/>
      <x:c r="QE58" s="59"/>
      <x:c r="QF58" s="59"/>
      <x:c r="QG58" s="59"/>
      <x:c r="QH58" s="59"/>
      <x:c r="QI58" s="59"/>
      <x:c r="QJ58" s="59"/>
      <x:c r="QK58" s="59"/>
      <x:c r="QL58" s="59"/>
      <x:c r="QM58" s="59"/>
      <x:c r="QN58" s="59"/>
      <x:c r="QO58" s="59"/>
      <x:c r="QP58" s="59"/>
      <x:c r="QQ58" s="59"/>
      <x:c r="QR58" s="59"/>
      <x:c r="QS58" s="59"/>
      <x:c r="QT58" s="59"/>
      <x:c r="QU58" s="59"/>
      <x:c r="QV58" s="59"/>
      <x:c r="QW58" s="59"/>
      <x:c r="QX58" s="59"/>
      <x:c r="QY58" s="59"/>
      <x:c r="QZ58" s="59"/>
      <x:c r="RA58" s="59"/>
      <x:c r="RB58" s="59"/>
      <x:c r="RC58" s="59"/>
      <x:c r="RD58" s="59"/>
      <x:c r="RE58" s="59"/>
      <x:c r="RF58" s="59"/>
      <x:c r="RG58" s="59"/>
      <x:c r="RH58" s="59"/>
      <x:c r="RI58" s="59"/>
      <x:c r="RJ58" s="59"/>
      <x:c r="RK58" s="59"/>
      <x:c r="RL58" s="59"/>
      <x:c r="RM58" s="59"/>
      <x:c r="RN58" s="59"/>
      <x:c r="RO58" s="59"/>
      <x:c r="RP58" s="59"/>
      <x:c r="RQ58" s="59"/>
      <x:c r="RR58" s="59"/>
      <x:c r="RS58" s="59"/>
      <x:c r="RT58" s="59"/>
      <x:c r="RU58" s="59"/>
      <x:c r="RV58" s="59"/>
      <x:c r="RW58" s="59"/>
      <x:c r="RX58" s="59"/>
      <x:c r="RY58" s="59"/>
      <x:c r="RZ58" s="59"/>
      <x:c r="SA58" s="59"/>
      <x:c r="SB58" s="59"/>
      <x:c r="SC58" s="59"/>
      <x:c r="SD58" s="59"/>
      <x:c r="SE58" s="59"/>
      <x:c r="SF58" s="59"/>
    </x:row>
    <x:row r="59">
      <x:c r="A59" s="61" t="str">
        <x:v>G — Secondary Product Goal</x:v>
      </x:c>
      <x:c r="B59" s="66" t="s">
        <x:v>112</x:v>
      </x:c>
      <x:c r="C59" s="66"/>
      <x:c r="D59" s="63" t="str">
        <x:v>Monthly secondary product goal</x:v>
      </x:c>
      <x:c r="E59" s="63"/>
      <x:c r="F59" s="63"/>
      <x:c r="G59" s="63" t="s">
        <x:v>125</x:v>
      </x:c>
      <x:c r="H59" s="63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  <x:c r="AA59" s="59"/>
      <x:c r="AB59" s="59"/>
      <x:c r="AC59" s="59"/>
      <x:c r="AD59" s="59"/>
      <x:c r="AE59" s="59"/>
      <x:c r="AF59" s="59"/>
      <x:c r="AG59" s="59"/>
      <x:c r="AH59" s="59"/>
      <x:c r="AI59" s="59"/>
      <x:c r="AJ59" s="59"/>
      <x:c r="AK59" s="59"/>
      <x:c r="AL59" s="59"/>
      <x:c r="AM59" s="59"/>
      <x:c r="AN59" s="59"/>
      <x:c r="AO59" s="59"/>
      <x:c r="AP59" s="59"/>
      <x:c r="AQ59" s="59"/>
      <x:c r="AR59" s="59"/>
      <x:c r="AS59" s="59"/>
      <x:c r="AT59" s="59"/>
      <x:c r="AU59" s="59"/>
      <x:c r="AV59" s="59"/>
      <x:c r="AW59" s="59"/>
      <x:c r="AX59" s="59"/>
      <x:c r="AY59" s="59"/>
      <x:c r="AZ59" s="59"/>
      <x:c r="BA59" s="59"/>
      <x:c r="BB59" s="59"/>
      <x:c r="BC59" s="59"/>
      <x:c r="BD59" s="59"/>
      <x:c r="BE59" s="59"/>
      <x:c r="BF59" s="59"/>
      <x:c r="BG59" s="59"/>
      <x:c r="BH59" s="59"/>
      <x:c r="BI59" s="59"/>
      <x:c r="BJ59" s="59"/>
      <x:c r="BK59" s="59"/>
      <x:c r="BL59" s="59"/>
      <x:c r="BM59" s="59"/>
      <x:c r="BN59" s="59"/>
      <x:c r="BO59" s="59"/>
      <x:c r="BP59" s="59"/>
      <x:c r="BQ59" s="59"/>
      <x:c r="BR59" s="59"/>
      <x:c r="BS59" s="59"/>
      <x:c r="BT59" s="59"/>
      <x:c r="BU59" s="59"/>
      <x:c r="BV59" s="59"/>
      <x:c r="BW59" s="59"/>
      <x:c r="BX59" s="59"/>
      <x:c r="BY59" s="59"/>
      <x:c r="BZ59" s="59"/>
      <x:c r="CA59" s="59"/>
      <x:c r="CB59" s="59"/>
      <x:c r="CC59" s="59"/>
      <x:c r="CD59" s="59"/>
      <x:c r="CE59" s="59"/>
      <x:c r="CF59" s="59"/>
      <x:c r="CG59" s="59"/>
      <x:c r="CH59" s="59"/>
      <x:c r="CI59" s="59"/>
      <x:c r="CJ59" s="59"/>
      <x:c r="CK59" s="59"/>
      <x:c r="CL59" s="59"/>
      <x:c r="CM59" s="59"/>
      <x:c r="CN59" s="59"/>
      <x:c r="CO59" s="59"/>
      <x:c r="CP59" s="59"/>
      <x:c r="CQ59" s="59"/>
      <x:c r="CR59" s="59"/>
      <x:c r="CS59" s="59"/>
      <x:c r="CT59" s="59"/>
      <x:c r="CU59" s="59"/>
      <x:c r="CV59" s="59"/>
      <x:c r="CW59" s="59"/>
      <x:c r="CX59" s="59"/>
      <x:c r="CY59" s="59"/>
      <x:c r="CZ59" s="59"/>
      <x:c r="DA59" s="59"/>
      <x:c r="DB59" s="59"/>
      <x:c r="DC59" s="59"/>
      <x:c r="DD59" s="59"/>
      <x:c r="DE59" s="59"/>
      <x:c r="DF59" s="59"/>
      <x:c r="DG59" s="59"/>
      <x:c r="DH59" s="59"/>
      <x:c r="DI59" s="59"/>
      <x:c r="DJ59" s="59"/>
      <x:c r="DK59" s="59"/>
      <x:c r="DL59" s="59"/>
      <x:c r="DM59" s="59"/>
      <x:c r="DN59" s="59"/>
      <x:c r="DO59" s="59"/>
      <x:c r="DP59" s="59"/>
      <x:c r="DQ59" s="59"/>
      <x:c r="DR59" s="59"/>
      <x:c r="DS59" s="59"/>
      <x:c r="DT59" s="59"/>
      <x:c r="DU59" s="59"/>
      <x:c r="DV59" s="59"/>
      <x:c r="DW59" s="59"/>
      <x:c r="DX59" s="59"/>
      <x:c r="DY59" s="59"/>
      <x:c r="DZ59" s="59"/>
      <x:c r="EA59" s="59"/>
      <x:c r="EB59" s="59"/>
      <x:c r="EC59" s="59"/>
      <x:c r="ED59" s="59"/>
      <x:c r="EE59" s="59"/>
      <x:c r="EF59" s="59"/>
      <x:c r="EG59" s="59"/>
      <x:c r="EH59" s="59"/>
      <x:c r="EI59" s="59"/>
      <x:c r="EJ59" s="59"/>
      <x:c r="EK59" s="59"/>
      <x:c r="EL59" s="59"/>
      <x:c r="EM59" s="59"/>
      <x:c r="EN59" s="59"/>
      <x:c r="EO59" s="59"/>
      <x:c r="EP59" s="59"/>
      <x:c r="EQ59" s="59"/>
      <x:c r="ER59" s="59"/>
      <x:c r="ES59" s="59"/>
      <x:c r="ET59" s="59"/>
      <x:c r="EU59" s="59"/>
      <x:c r="EV59" s="59"/>
      <x:c r="EW59" s="59"/>
      <x:c r="EX59" s="59"/>
      <x:c r="EY59" s="59"/>
      <x:c r="EZ59" s="59"/>
      <x:c r="FA59" s="59"/>
      <x:c r="FB59" s="59"/>
      <x:c r="FC59" s="59"/>
      <x:c r="FD59" s="59"/>
      <x:c r="FE59" s="59"/>
      <x:c r="FF59" s="59"/>
      <x:c r="FG59" s="59"/>
      <x:c r="FH59" s="59"/>
      <x:c r="FI59" s="59"/>
      <x:c r="FJ59" s="59"/>
      <x:c r="FK59" s="59"/>
      <x:c r="FL59" s="59"/>
      <x:c r="FM59" s="59"/>
      <x:c r="FN59" s="59"/>
      <x:c r="FO59" s="59"/>
      <x:c r="FP59" s="59"/>
      <x:c r="FQ59" s="59"/>
      <x:c r="FR59" s="59"/>
      <x:c r="FS59" s="59"/>
      <x:c r="FT59" s="59"/>
      <x:c r="FU59" s="59"/>
      <x:c r="FV59" s="59"/>
      <x:c r="FW59" s="59"/>
      <x:c r="FX59" s="59"/>
      <x:c r="FY59" s="59"/>
      <x:c r="FZ59" s="59"/>
      <x:c r="GA59" s="59"/>
      <x:c r="GB59" s="59"/>
      <x:c r="GC59" s="59"/>
      <x:c r="GD59" s="59"/>
      <x:c r="GE59" s="59"/>
      <x:c r="GF59" s="59"/>
      <x:c r="GG59" s="59"/>
      <x:c r="GH59" s="59"/>
      <x:c r="GI59" s="59"/>
      <x:c r="GJ59" s="59"/>
      <x:c r="GK59" s="59"/>
      <x:c r="GL59" s="59"/>
      <x:c r="GM59" s="59"/>
      <x:c r="GN59" s="59"/>
      <x:c r="GO59" s="59"/>
      <x:c r="GP59" s="59"/>
      <x:c r="GQ59" s="59"/>
      <x:c r="GR59" s="59"/>
      <x:c r="GS59" s="59"/>
      <x:c r="GT59" s="59"/>
      <x:c r="GU59" s="59"/>
      <x:c r="GV59" s="59"/>
      <x:c r="GW59" s="59"/>
      <x:c r="GX59" s="59"/>
      <x:c r="GY59" s="59"/>
      <x:c r="GZ59" s="59"/>
      <x:c r="HA59" s="59"/>
      <x:c r="HB59" s="59"/>
      <x:c r="HC59" s="59"/>
      <x:c r="HD59" s="59"/>
      <x:c r="HE59" s="59"/>
      <x:c r="HF59" s="59"/>
      <x:c r="HG59" s="59"/>
      <x:c r="HH59" s="59"/>
      <x:c r="HI59" s="59"/>
      <x:c r="HJ59" s="59"/>
      <x:c r="HK59" s="59"/>
      <x:c r="HL59" s="59"/>
      <x:c r="HM59" s="59"/>
      <x:c r="HN59" s="59"/>
      <x:c r="HO59" s="59"/>
      <x:c r="HP59" s="59"/>
      <x:c r="HQ59" s="59"/>
      <x:c r="HR59" s="59"/>
      <x:c r="HS59" s="59"/>
      <x:c r="HT59" s="59"/>
      <x:c r="HU59" s="59"/>
      <x:c r="HV59" s="59"/>
      <x:c r="HW59" s="59"/>
      <x:c r="HX59" s="59"/>
      <x:c r="HY59" s="59"/>
      <x:c r="HZ59" s="59"/>
      <x:c r="IA59" s="59"/>
      <x:c r="IB59" s="59"/>
      <x:c r="IC59" s="59"/>
      <x:c r="ID59" s="59"/>
      <x:c r="IE59" s="59"/>
      <x:c r="IF59" s="59"/>
      <x:c r="IG59" s="59"/>
      <x:c r="IH59" s="59"/>
      <x:c r="II59" s="59"/>
      <x:c r="IJ59" s="59"/>
      <x:c r="IK59" s="59"/>
      <x:c r="IL59" s="59"/>
      <x:c r="IM59" s="59"/>
      <x:c r="IN59" s="59"/>
      <x:c r="IO59" s="59"/>
      <x:c r="IP59" s="59"/>
      <x:c r="IQ59" s="59"/>
      <x:c r="IR59" s="59"/>
      <x:c r="IS59" s="59"/>
      <x:c r="IT59" s="59"/>
      <x:c r="IU59" s="59"/>
      <x:c r="IV59" s="59"/>
      <x:c r="IW59" s="59"/>
      <x:c r="IX59" s="59"/>
      <x:c r="IY59" s="59"/>
      <x:c r="IZ59" s="59"/>
      <x:c r="JA59" s="59"/>
      <x:c r="JB59" s="59"/>
      <x:c r="JC59" s="59"/>
      <x:c r="JD59" s="59"/>
      <x:c r="JE59" s="59"/>
      <x:c r="JF59" s="59"/>
      <x:c r="JG59" s="59"/>
      <x:c r="JH59" s="59"/>
      <x:c r="JI59" s="59"/>
      <x:c r="JJ59" s="59"/>
      <x:c r="JK59" s="59"/>
      <x:c r="JL59" s="59"/>
      <x:c r="JM59" s="59"/>
      <x:c r="JN59" s="59"/>
      <x:c r="JO59" s="59"/>
      <x:c r="JP59" s="59"/>
      <x:c r="JQ59" s="59"/>
      <x:c r="JR59" s="59"/>
      <x:c r="JS59" s="59"/>
      <x:c r="JT59" s="59"/>
      <x:c r="JU59" s="59"/>
      <x:c r="JV59" s="59"/>
      <x:c r="JW59" s="59"/>
      <x:c r="JX59" s="59"/>
      <x:c r="JY59" s="59"/>
      <x:c r="JZ59" s="59"/>
      <x:c r="KA59" s="59"/>
      <x:c r="KB59" s="59"/>
      <x:c r="KC59" s="59"/>
      <x:c r="KD59" s="59"/>
      <x:c r="KE59" s="59"/>
      <x:c r="KF59" s="59"/>
      <x:c r="KG59" s="59"/>
      <x:c r="KH59" s="59"/>
      <x:c r="KI59" s="59"/>
      <x:c r="KJ59" s="59"/>
      <x:c r="KK59" s="59"/>
      <x:c r="KL59" s="59"/>
      <x:c r="KM59" s="59"/>
      <x:c r="KN59" s="59"/>
      <x:c r="KO59" s="59"/>
      <x:c r="KP59" s="59"/>
      <x:c r="KQ59" s="59"/>
      <x:c r="KR59" s="59"/>
      <x:c r="KS59" s="59"/>
      <x:c r="KT59" s="59"/>
      <x:c r="KU59" s="59"/>
      <x:c r="KV59" s="59"/>
      <x:c r="KW59" s="59"/>
      <x:c r="KX59" s="59"/>
      <x:c r="KY59" s="59"/>
      <x:c r="KZ59" s="59"/>
      <x:c r="LA59" s="59"/>
      <x:c r="LB59" s="59"/>
      <x:c r="LC59" s="59"/>
      <x:c r="LD59" s="59"/>
      <x:c r="LE59" s="59"/>
      <x:c r="LF59" s="59"/>
      <x:c r="LG59" s="59"/>
      <x:c r="LH59" s="59"/>
      <x:c r="LI59" s="59"/>
      <x:c r="LJ59" s="59"/>
      <x:c r="LK59" s="59"/>
      <x:c r="LL59" s="59"/>
      <x:c r="LM59" s="59"/>
      <x:c r="LN59" s="59"/>
      <x:c r="LO59" s="59"/>
      <x:c r="LP59" s="59"/>
      <x:c r="LQ59" s="59"/>
      <x:c r="LR59" s="59"/>
      <x:c r="LS59" s="59"/>
      <x:c r="LT59" s="59"/>
      <x:c r="LU59" s="59"/>
      <x:c r="LV59" s="59"/>
      <x:c r="LW59" s="59"/>
      <x:c r="LX59" s="59"/>
      <x:c r="LY59" s="59"/>
      <x:c r="LZ59" s="59"/>
      <x:c r="MA59" s="59"/>
      <x:c r="MB59" s="59"/>
      <x:c r="MC59" s="59"/>
      <x:c r="MD59" s="59"/>
      <x:c r="ME59" s="59"/>
      <x:c r="MF59" s="59"/>
      <x:c r="MG59" s="59"/>
      <x:c r="MH59" s="59"/>
      <x:c r="MI59" s="59"/>
      <x:c r="MJ59" s="59"/>
      <x:c r="MK59" s="59"/>
      <x:c r="ML59" s="59"/>
      <x:c r="MM59" s="59"/>
      <x:c r="MN59" s="59"/>
      <x:c r="MO59" s="59"/>
      <x:c r="MP59" s="59"/>
      <x:c r="MQ59" s="59"/>
      <x:c r="MR59" s="59"/>
      <x:c r="MS59" s="59"/>
      <x:c r="MT59" s="59"/>
      <x:c r="MU59" s="59"/>
      <x:c r="MV59" s="59"/>
      <x:c r="MW59" s="59"/>
      <x:c r="MX59" s="59"/>
      <x:c r="MY59" s="59"/>
      <x:c r="MZ59" s="59"/>
      <x:c r="NA59" s="59"/>
      <x:c r="NB59" s="59"/>
      <x:c r="NC59" s="59"/>
      <x:c r="ND59" s="59"/>
      <x:c r="NE59" s="59"/>
      <x:c r="NF59" s="59"/>
      <x:c r="NG59" s="59"/>
      <x:c r="NH59" s="59"/>
      <x:c r="NI59" s="59"/>
      <x:c r="NJ59" s="59"/>
      <x:c r="NK59" s="59"/>
      <x:c r="NL59" s="59"/>
      <x:c r="NM59" s="59"/>
      <x:c r="NN59" s="59"/>
      <x:c r="NO59" s="59"/>
      <x:c r="NP59" s="59"/>
      <x:c r="NQ59" s="59"/>
      <x:c r="NR59" s="59"/>
      <x:c r="NS59" s="59"/>
      <x:c r="NT59" s="59"/>
      <x:c r="NU59" s="59"/>
      <x:c r="NV59" s="59"/>
      <x:c r="NW59" s="59"/>
      <x:c r="NX59" s="59"/>
      <x:c r="NY59" s="59"/>
      <x:c r="NZ59" s="59"/>
      <x:c r="OA59" s="59"/>
      <x:c r="OB59" s="59"/>
      <x:c r="OC59" s="59"/>
      <x:c r="OD59" s="59"/>
      <x:c r="OE59" s="59"/>
      <x:c r="OF59" s="59"/>
      <x:c r="OG59" s="59"/>
      <x:c r="OH59" s="59"/>
      <x:c r="OI59" s="59"/>
      <x:c r="OJ59" s="59"/>
      <x:c r="OK59" s="59"/>
      <x:c r="OL59" s="59"/>
      <x:c r="OM59" s="59"/>
      <x:c r="ON59" s="59"/>
      <x:c r="OO59" s="59"/>
      <x:c r="OP59" s="59"/>
      <x:c r="OQ59" s="59"/>
      <x:c r="OR59" s="59"/>
      <x:c r="OS59" s="59"/>
      <x:c r="OT59" s="59"/>
      <x:c r="OU59" s="59"/>
      <x:c r="OV59" s="59"/>
      <x:c r="OW59" s="59"/>
      <x:c r="OX59" s="59"/>
      <x:c r="OY59" s="59"/>
      <x:c r="OZ59" s="59"/>
      <x:c r="PA59" s="59"/>
      <x:c r="PB59" s="59"/>
      <x:c r="PC59" s="59"/>
      <x:c r="PD59" s="59"/>
      <x:c r="PE59" s="59"/>
      <x:c r="PF59" s="59"/>
      <x:c r="PG59" s="59"/>
      <x:c r="PH59" s="59"/>
      <x:c r="PI59" s="59"/>
      <x:c r="PJ59" s="59"/>
      <x:c r="PK59" s="59"/>
      <x:c r="PL59" s="59"/>
      <x:c r="PM59" s="59"/>
      <x:c r="PN59" s="59"/>
      <x:c r="PO59" s="59"/>
      <x:c r="PP59" s="59"/>
      <x:c r="PQ59" s="59"/>
      <x:c r="PR59" s="59"/>
      <x:c r="PS59" s="59"/>
      <x:c r="PT59" s="59"/>
      <x:c r="PU59" s="59"/>
      <x:c r="PV59" s="59"/>
      <x:c r="PW59" s="59"/>
      <x:c r="PX59" s="59"/>
      <x:c r="PY59" s="59"/>
      <x:c r="PZ59" s="59"/>
      <x:c r="QA59" s="59"/>
      <x:c r="QB59" s="59"/>
      <x:c r="QC59" s="59"/>
      <x:c r="QD59" s="59"/>
      <x:c r="QE59" s="59"/>
      <x:c r="QF59" s="59"/>
      <x:c r="QG59" s="59"/>
      <x:c r="QH59" s="59"/>
      <x:c r="QI59" s="59"/>
      <x:c r="QJ59" s="59"/>
      <x:c r="QK59" s="59"/>
      <x:c r="QL59" s="59"/>
      <x:c r="QM59" s="59"/>
      <x:c r="QN59" s="59"/>
      <x:c r="QO59" s="59"/>
      <x:c r="QP59" s="59"/>
      <x:c r="QQ59" s="59"/>
      <x:c r="QR59" s="59"/>
      <x:c r="QS59" s="59"/>
      <x:c r="QT59" s="59"/>
      <x:c r="QU59" s="59"/>
      <x:c r="QV59" s="59"/>
      <x:c r="QW59" s="59"/>
      <x:c r="QX59" s="59"/>
      <x:c r="QY59" s="59"/>
      <x:c r="QZ59" s="59"/>
      <x:c r="RA59" s="59"/>
      <x:c r="RB59" s="59"/>
      <x:c r="RC59" s="59"/>
      <x:c r="RD59" s="59"/>
      <x:c r="RE59" s="59"/>
      <x:c r="RF59" s="59"/>
      <x:c r="RG59" s="59"/>
      <x:c r="RH59" s="59"/>
      <x:c r="RI59" s="59"/>
      <x:c r="RJ59" s="59"/>
      <x:c r="RK59" s="59"/>
      <x:c r="RL59" s="59"/>
      <x:c r="RM59" s="59"/>
      <x:c r="RN59" s="59"/>
      <x:c r="RO59" s="59"/>
      <x:c r="RP59" s="59"/>
      <x:c r="RQ59" s="59"/>
      <x:c r="RR59" s="59"/>
      <x:c r="RS59" s="59"/>
      <x:c r="RT59" s="59"/>
      <x:c r="RU59" s="59"/>
      <x:c r="RV59" s="59"/>
      <x:c r="RW59" s="59"/>
      <x:c r="RX59" s="59"/>
      <x:c r="RY59" s="59"/>
      <x:c r="RZ59" s="59"/>
      <x:c r="SA59" s="59"/>
      <x:c r="SB59" s="59"/>
      <x:c r="SC59" s="59"/>
      <x:c r="SD59" s="59"/>
      <x:c r="SE59" s="59"/>
      <x:c r="SF59" s="59"/>
    </x:row>
    <x:row r="60" ht="27">
      <x:c r="A60" s="61" t="str">
        <x:v>H — Secondary Product Completed</x:v>
      </x:c>
      <x:c r="B60" s="66" t="s">
        <x:v>112</x:v>
      </x:c>
      <x:c r="C60" s="66"/>
      <x:c r="D60" s="63" t="str">
        <x:v>Actual secondary product completions</x:v>
      </x:c>
      <x:c r="E60" s="63"/>
      <x:c r="F60" s="63"/>
      <x:c r="G60" s="63" t="s">
        <x:v>126</x:v>
      </x:c>
      <x:c r="H60" s="63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  <x:c r="AA60" s="59"/>
      <x:c r="AB60" s="59"/>
      <x:c r="AC60" s="59"/>
      <x:c r="AD60" s="59"/>
      <x:c r="AE60" s="59"/>
      <x:c r="AF60" s="59"/>
      <x:c r="AG60" s="59"/>
      <x:c r="AH60" s="59"/>
      <x:c r="AI60" s="59"/>
      <x:c r="AJ60" s="59"/>
      <x:c r="AK60" s="59"/>
      <x:c r="AL60" s="59"/>
      <x:c r="AM60" s="59"/>
      <x:c r="AN60" s="59"/>
      <x:c r="AO60" s="59"/>
      <x:c r="AP60" s="59"/>
      <x:c r="AQ60" s="59"/>
      <x:c r="AR60" s="59"/>
      <x:c r="AS60" s="59"/>
      <x:c r="AT60" s="59"/>
      <x:c r="AU60" s="59"/>
      <x:c r="AV60" s="59"/>
      <x:c r="AW60" s="59"/>
      <x:c r="AX60" s="59"/>
      <x:c r="AY60" s="59"/>
      <x:c r="AZ60" s="59"/>
      <x:c r="BA60" s="59"/>
      <x:c r="BB60" s="59"/>
      <x:c r="BC60" s="59"/>
      <x:c r="BD60" s="59"/>
      <x:c r="BE60" s="59"/>
      <x:c r="BF60" s="59"/>
      <x:c r="BG60" s="59"/>
      <x:c r="BH60" s="59"/>
      <x:c r="BI60" s="59"/>
      <x:c r="BJ60" s="59"/>
      <x:c r="BK60" s="59"/>
      <x:c r="BL60" s="59"/>
      <x:c r="BM60" s="59"/>
      <x:c r="BN60" s="59"/>
      <x:c r="BO60" s="59"/>
      <x:c r="BP60" s="59"/>
      <x:c r="BQ60" s="59"/>
      <x:c r="BR60" s="59"/>
      <x:c r="BS60" s="59"/>
      <x:c r="BT60" s="59"/>
      <x:c r="BU60" s="59"/>
      <x:c r="BV60" s="59"/>
      <x:c r="BW60" s="59"/>
      <x:c r="BX60" s="59"/>
      <x:c r="BY60" s="59"/>
      <x:c r="BZ60" s="59"/>
      <x:c r="CA60" s="59"/>
      <x:c r="CB60" s="59"/>
      <x:c r="CC60" s="59"/>
      <x:c r="CD60" s="59"/>
      <x:c r="CE60" s="59"/>
      <x:c r="CF60" s="59"/>
      <x:c r="CG60" s="59"/>
      <x:c r="CH60" s="59"/>
      <x:c r="CI60" s="59"/>
      <x:c r="CJ60" s="59"/>
      <x:c r="CK60" s="59"/>
      <x:c r="CL60" s="59"/>
      <x:c r="CM60" s="59"/>
      <x:c r="CN60" s="59"/>
      <x:c r="CO60" s="59"/>
      <x:c r="CP60" s="59"/>
      <x:c r="CQ60" s="59"/>
      <x:c r="CR60" s="59"/>
      <x:c r="CS60" s="59"/>
      <x:c r="CT60" s="59"/>
      <x:c r="CU60" s="59"/>
      <x:c r="CV60" s="59"/>
      <x:c r="CW60" s="59"/>
      <x:c r="CX60" s="59"/>
      <x:c r="CY60" s="59"/>
      <x:c r="CZ60" s="59"/>
      <x:c r="DA60" s="59"/>
      <x:c r="DB60" s="59"/>
      <x:c r="DC60" s="59"/>
      <x:c r="DD60" s="59"/>
      <x:c r="DE60" s="59"/>
      <x:c r="DF60" s="59"/>
      <x:c r="DG60" s="59"/>
      <x:c r="DH60" s="59"/>
      <x:c r="DI60" s="59"/>
      <x:c r="DJ60" s="59"/>
      <x:c r="DK60" s="59"/>
      <x:c r="DL60" s="59"/>
      <x:c r="DM60" s="59"/>
      <x:c r="DN60" s="59"/>
      <x:c r="DO60" s="59"/>
      <x:c r="DP60" s="59"/>
      <x:c r="DQ60" s="59"/>
      <x:c r="DR60" s="59"/>
      <x:c r="DS60" s="59"/>
      <x:c r="DT60" s="59"/>
      <x:c r="DU60" s="59"/>
      <x:c r="DV60" s="59"/>
      <x:c r="DW60" s="59"/>
      <x:c r="DX60" s="59"/>
      <x:c r="DY60" s="59"/>
      <x:c r="DZ60" s="59"/>
      <x:c r="EA60" s="59"/>
      <x:c r="EB60" s="59"/>
      <x:c r="EC60" s="59"/>
      <x:c r="ED60" s="59"/>
      <x:c r="EE60" s="59"/>
      <x:c r="EF60" s="59"/>
      <x:c r="EG60" s="59"/>
      <x:c r="EH60" s="59"/>
      <x:c r="EI60" s="59"/>
      <x:c r="EJ60" s="59"/>
      <x:c r="EK60" s="59"/>
      <x:c r="EL60" s="59"/>
      <x:c r="EM60" s="59"/>
      <x:c r="EN60" s="59"/>
      <x:c r="EO60" s="59"/>
      <x:c r="EP60" s="59"/>
      <x:c r="EQ60" s="59"/>
      <x:c r="ER60" s="59"/>
      <x:c r="ES60" s="59"/>
      <x:c r="ET60" s="59"/>
      <x:c r="EU60" s="59"/>
      <x:c r="EV60" s="59"/>
      <x:c r="EW60" s="59"/>
      <x:c r="EX60" s="59"/>
      <x:c r="EY60" s="59"/>
      <x:c r="EZ60" s="59"/>
      <x:c r="FA60" s="59"/>
      <x:c r="FB60" s="59"/>
      <x:c r="FC60" s="59"/>
      <x:c r="FD60" s="59"/>
      <x:c r="FE60" s="59"/>
      <x:c r="FF60" s="59"/>
      <x:c r="FG60" s="59"/>
      <x:c r="FH60" s="59"/>
      <x:c r="FI60" s="59"/>
      <x:c r="FJ60" s="59"/>
      <x:c r="FK60" s="59"/>
      <x:c r="FL60" s="59"/>
      <x:c r="FM60" s="59"/>
      <x:c r="FN60" s="59"/>
      <x:c r="FO60" s="59"/>
      <x:c r="FP60" s="59"/>
      <x:c r="FQ60" s="59"/>
      <x:c r="FR60" s="59"/>
      <x:c r="FS60" s="59"/>
      <x:c r="FT60" s="59"/>
      <x:c r="FU60" s="59"/>
      <x:c r="FV60" s="59"/>
      <x:c r="FW60" s="59"/>
      <x:c r="FX60" s="59"/>
      <x:c r="FY60" s="59"/>
      <x:c r="FZ60" s="59"/>
      <x:c r="GA60" s="59"/>
      <x:c r="GB60" s="59"/>
      <x:c r="GC60" s="59"/>
      <x:c r="GD60" s="59"/>
      <x:c r="GE60" s="59"/>
      <x:c r="GF60" s="59"/>
      <x:c r="GG60" s="59"/>
      <x:c r="GH60" s="59"/>
      <x:c r="GI60" s="59"/>
      <x:c r="GJ60" s="59"/>
      <x:c r="GK60" s="59"/>
      <x:c r="GL60" s="59"/>
      <x:c r="GM60" s="59"/>
      <x:c r="GN60" s="59"/>
      <x:c r="GO60" s="59"/>
      <x:c r="GP60" s="59"/>
      <x:c r="GQ60" s="59"/>
      <x:c r="GR60" s="59"/>
      <x:c r="GS60" s="59"/>
      <x:c r="GT60" s="59"/>
      <x:c r="GU60" s="59"/>
      <x:c r="GV60" s="59"/>
      <x:c r="GW60" s="59"/>
      <x:c r="GX60" s="59"/>
      <x:c r="GY60" s="59"/>
      <x:c r="GZ60" s="59"/>
      <x:c r="HA60" s="59"/>
      <x:c r="HB60" s="59"/>
      <x:c r="HC60" s="59"/>
      <x:c r="HD60" s="59"/>
      <x:c r="HE60" s="59"/>
      <x:c r="HF60" s="59"/>
      <x:c r="HG60" s="59"/>
      <x:c r="HH60" s="59"/>
      <x:c r="HI60" s="59"/>
      <x:c r="HJ60" s="59"/>
      <x:c r="HK60" s="59"/>
      <x:c r="HL60" s="59"/>
      <x:c r="HM60" s="59"/>
      <x:c r="HN60" s="59"/>
      <x:c r="HO60" s="59"/>
      <x:c r="HP60" s="59"/>
      <x:c r="HQ60" s="59"/>
      <x:c r="HR60" s="59"/>
      <x:c r="HS60" s="59"/>
      <x:c r="HT60" s="59"/>
      <x:c r="HU60" s="59"/>
      <x:c r="HV60" s="59"/>
      <x:c r="HW60" s="59"/>
      <x:c r="HX60" s="59"/>
      <x:c r="HY60" s="59"/>
      <x:c r="HZ60" s="59"/>
      <x:c r="IA60" s="59"/>
      <x:c r="IB60" s="59"/>
      <x:c r="IC60" s="59"/>
      <x:c r="ID60" s="59"/>
      <x:c r="IE60" s="59"/>
      <x:c r="IF60" s="59"/>
      <x:c r="IG60" s="59"/>
      <x:c r="IH60" s="59"/>
      <x:c r="II60" s="59"/>
      <x:c r="IJ60" s="59"/>
      <x:c r="IK60" s="59"/>
      <x:c r="IL60" s="59"/>
      <x:c r="IM60" s="59"/>
      <x:c r="IN60" s="59"/>
      <x:c r="IO60" s="59"/>
      <x:c r="IP60" s="59"/>
      <x:c r="IQ60" s="59"/>
      <x:c r="IR60" s="59"/>
      <x:c r="IS60" s="59"/>
      <x:c r="IT60" s="59"/>
      <x:c r="IU60" s="59"/>
      <x:c r="IV60" s="59"/>
      <x:c r="IW60" s="59"/>
      <x:c r="IX60" s="59"/>
      <x:c r="IY60" s="59"/>
      <x:c r="IZ60" s="59"/>
      <x:c r="JA60" s="59"/>
      <x:c r="JB60" s="59"/>
      <x:c r="JC60" s="59"/>
      <x:c r="JD60" s="59"/>
      <x:c r="JE60" s="59"/>
      <x:c r="JF60" s="59"/>
      <x:c r="JG60" s="59"/>
      <x:c r="JH60" s="59"/>
      <x:c r="JI60" s="59"/>
      <x:c r="JJ60" s="59"/>
      <x:c r="JK60" s="59"/>
      <x:c r="JL60" s="59"/>
      <x:c r="JM60" s="59"/>
      <x:c r="JN60" s="59"/>
      <x:c r="JO60" s="59"/>
      <x:c r="JP60" s="59"/>
      <x:c r="JQ60" s="59"/>
      <x:c r="JR60" s="59"/>
      <x:c r="JS60" s="59"/>
      <x:c r="JT60" s="59"/>
      <x:c r="JU60" s="59"/>
      <x:c r="JV60" s="59"/>
      <x:c r="JW60" s="59"/>
      <x:c r="JX60" s="59"/>
      <x:c r="JY60" s="59"/>
      <x:c r="JZ60" s="59"/>
      <x:c r="KA60" s="59"/>
      <x:c r="KB60" s="59"/>
      <x:c r="KC60" s="59"/>
      <x:c r="KD60" s="59"/>
      <x:c r="KE60" s="59"/>
      <x:c r="KF60" s="59"/>
      <x:c r="KG60" s="59"/>
      <x:c r="KH60" s="59"/>
      <x:c r="KI60" s="59"/>
      <x:c r="KJ60" s="59"/>
      <x:c r="KK60" s="59"/>
      <x:c r="KL60" s="59"/>
      <x:c r="KM60" s="59"/>
      <x:c r="KN60" s="59"/>
      <x:c r="KO60" s="59"/>
      <x:c r="KP60" s="59"/>
      <x:c r="KQ60" s="59"/>
      <x:c r="KR60" s="59"/>
      <x:c r="KS60" s="59"/>
      <x:c r="KT60" s="59"/>
      <x:c r="KU60" s="59"/>
      <x:c r="KV60" s="59"/>
      <x:c r="KW60" s="59"/>
      <x:c r="KX60" s="59"/>
      <x:c r="KY60" s="59"/>
      <x:c r="KZ60" s="59"/>
      <x:c r="LA60" s="59"/>
      <x:c r="LB60" s="59"/>
      <x:c r="LC60" s="59"/>
      <x:c r="LD60" s="59"/>
      <x:c r="LE60" s="59"/>
      <x:c r="LF60" s="59"/>
      <x:c r="LG60" s="59"/>
      <x:c r="LH60" s="59"/>
      <x:c r="LI60" s="59"/>
      <x:c r="LJ60" s="59"/>
      <x:c r="LK60" s="59"/>
      <x:c r="LL60" s="59"/>
      <x:c r="LM60" s="59"/>
      <x:c r="LN60" s="59"/>
      <x:c r="LO60" s="59"/>
      <x:c r="LP60" s="59"/>
      <x:c r="LQ60" s="59"/>
      <x:c r="LR60" s="59"/>
      <x:c r="LS60" s="59"/>
      <x:c r="LT60" s="59"/>
      <x:c r="LU60" s="59"/>
      <x:c r="LV60" s="59"/>
      <x:c r="LW60" s="59"/>
      <x:c r="LX60" s="59"/>
      <x:c r="LY60" s="59"/>
      <x:c r="LZ60" s="59"/>
      <x:c r="MA60" s="59"/>
      <x:c r="MB60" s="59"/>
      <x:c r="MC60" s="59"/>
      <x:c r="MD60" s="59"/>
      <x:c r="ME60" s="59"/>
      <x:c r="MF60" s="59"/>
      <x:c r="MG60" s="59"/>
      <x:c r="MH60" s="59"/>
      <x:c r="MI60" s="59"/>
      <x:c r="MJ60" s="59"/>
      <x:c r="MK60" s="59"/>
      <x:c r="ML60" s="59"/>
      <x:c r="MM60" s="59"/>
      <x:c r="MN60" s="59"/>
      <x:c r="MO60" s="59"/>
      <x:c r="MP60" s="59"/>
      <x:c r="MQ60" s="59"/>
      <x:c r="MR60" s="59"/>
      <x:c r="MS60" s="59"/>
      <x:c r="MT60" s="59"/>
      <x:c r="MU60" s="59"/>
      <x:c r="MV60" s="59"/>
      <x:c r="MW60" s="59"/>
      <x:c r="MX60" s="59"/>
      <x:c r="MY60" s="59"/>
      <x:c r="MZ60" s="59"/>
      <x:c r="NA60" s="59"/>
      <x:c r="NB60" s="59"/>
      <x:c r="NC60" s="59"/>
      <x:c r="ND60" s="59"/>
      <x:c r="NE60" s="59"/>
      <x:c r="NF60" s="59"/>
      <x:c r="NG60" s="59"/>
      <x:c r="NH60" s="59"/>
      <x:c r="NI60" s="59"/>
      <x:c r="NJ60" s="59"/>
      <x:c r="NK60" s="59"/>
      <x:c r="NL60" s="59"/>
      <x:c r="NM60" s="59"/>
      <x:c r="NN60" s="59"/>
      <x:c r="NO60" s="59"/>
      <x:c r="NP60" s="59"/>
      <x:c r="NQ60" s="59"/>
      <x:c r="NR60" s="59"/>
      <x:c r="NS60" s="59"/>
      <x:c r="NT60" s="59"/>
      <x:c r="NU60" s="59"/>
      <x:c r="NV60" s="59"/>
      <x:c r="NW60" s="59"/>
      <x:c r="NX60" s="59"/>
      <x:c r="NY60" s="59"/>
      <x:c r="NZ60" s="59"/>
      <x:c r="OA60" s="59"/>
      <x:c r="OB60" s="59"/>
      <x:c r="OC60" s="59"/>
      <x:c r="OD60" s="59"/>
      <x:c r="OE60" s="59"/>
      <x:c r="OF60" s="59"/>
      <x:c r="OG60" s="59"/>
      <x:c r="OH60" s="59"/>
      <x:c r="OI60" s="59"/>
      <x:c r="OJ60" s="59"/>
      <x:c r="OK60" s="59"/>
      <x:c r="OL60" s="59"/>
      <x:c r="OM60" s="59"/>
      <x:c r="ON60" s="59"/>
      <x:c r="OO60" s="59"/>
      <x:c r="OP60" s="59"/>
      <x:c r="OQ60" s="59"/>
      <x:c r="OR60" s="59"/>
      <x:c r="OS60" s="59"/>
      <x:c r="OT60" s="59"/>
      <x:c r="OU60" s="59"/>
      <x:c r="OV60" s="59"/>
      <x:c r="OW60" s="59"/>
      <x:c r="OX60" s="59"/>
      <x:c r="OY60" s="59"/>
      <x:c r="OZ60" s="59"/>
      <x:c r="PA60" s="59"/>
      <x:c r="PB60" s="59"/>
      <x:c r="PC60" s="59"/>
      <x:c r="PD60" s="59"/>
      <x:c r="PE60" s="59"/>
      <x:c r="PF60" s="59"/>
      <x:c r="PG60" s="59"/>
      <x:c r="PH60" s="59"/>
      <x:c r="PI60" s="59"/>
      <x:c r="PJ60" s="59"/>
      <x:c r="PK60" s="59"/>
      <x:c r="PL60" s="59"/>
      <x:c r="PM60" s="59"/>
      <x:c r="PN60" s="59"/>
      <x:c r="PO60" s="59"/>
      <x:c r="PP60" s="59"/>
      <x:c r="PQ60" s="59"/>
      <x:c r="PR60" s="59"/>
      <x:c r="PS60" s="59"/>
      <x:c r="PT60" s="59"/>
      <x:c r="PU60" s="59"/>
      <x:c r="PV60" s="59"/>
      <x:c r="PW60" s="59"/>
      <x:c r="PX60" s="59"/>
      <x:c r="PY60" s="59"/>
      <x:c r="PZ60" s="59"/>
      <x:c r="QA60" s="59"/>
      <x:c r="QB60" s="59"/>
      <x:c r="QC60" s="59"/>
      <x:c r="QD60" s="59"/>
      <x:c r="QE60" s="59"/>
      <x:c r="QF60" s="59"/>
      <x:c r="QG60" s="59"/>
      <x:c r="QH60" s="59"/>
      <x:c r="QI60" s="59"/>
      <x:c r="QJ60" s="59"/>
      <x:c r="QK60" s="59"/>
      <x:c r="QL60" s="59"/>
      <x:c r="QM60" s="59"/>
      <x:c r="QN60" s="59"/>
      <x:c r="QO60" s="59"/>
      <x:c r="QP60" s="59"/>
      <x:c r="QQ60" s="59"/>
      <x:c r="QR60" s="59"/>
      <x:c r="QS60" s="59"/>
      <x:c r="QT60" s="59"/>
      <x:c r="QU60" s="59"/>
      <x:c r="QV60" s="59"/>
      <x:c r="QW60" s="59"/>
      <x:c r="QX60" s="59"/>
      <x:c r="QY60" s="59"/>
      <x:c r="QZ60" s="59"/>
      <x:c r="RA60" s="59"/>
      <x:c r="RB60" s="59"/>
      <x:c r="RC60" s="59"/>
      <x:c r="RD60" s="59"/>
      <x:c r="RE60" s="59"/>
      <x:c r="RF60" s="59"/>
      <x:c r="RG60" s="59"/>
      <x:c r="RH60" s="59"/>
      <x:c r="RI60" s="59"/>
      <x:c r="RJ60" s="59"/>
      <x:c r="RK60" s="59"/>
      <x:c r="RL60" s="59"/>
      <x:c r="RM60" s="59"/>
      <x:c r="RN60" s="59"/>
      <x:c r="RO60" s="59"/>
      <x:c r="RP60" s="59"/>
      <x:c r="RQ60" s="59"/>
      <x:c r="RR60" s="59"/>
      <x:c r="RS60" s="59"/>
      <x:c r="RT60" s="59"/>
      <x:c r="RU60" s="59"/>
      <x:c r="RV60" s="59"/>
      <x:c r="RW60" s="59"/>
      <x:c r="RX60" s="59"/>
      <x:c r="RY60" s="59"/>
      <x:c r="RZ60" s="59"/>
      <x:c r="SA60" s="59"/>
      <x:c r="SB60" s="59"/>
      <x:c r="SC60" s="59"/>
      <x:c r="SD60" s="59"/>
      <x:c r="SE60" s="59"/>
      <x:c r="SF60" s="59"/>
    </x:row>
    <x:row r="61">
      <x:c r="A61" s="61" t="str">
        <x:v>I — Secondary Product Goal %</x:v>
      </x:c>
      <x:c r="B61" s="68" t="s">
        <x:v>119</x:v>
      </x:c>
      <x:c r="C61" s="68"/>
      <x:c r="D61" s="63" t="s">
        <x:v>120</x:v>
      </x:c>
      <x:c r="E61" s="63"/>
      <x:c r="F61" s="63"/>
      <x:c r="G61" s="63" t="s">
        <x:v>124</x:v>
      </x:c>
      <x:c r="H61" s="63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  <x:c r="AA61" s="59"/>
      <x:c r="AB61" s="59"/>
      <x:c r="AC61" s="59"/>
      <x:c r="AD61" s="59"/>
      <x:c r="AE61" s="59"/>
      <x:c r="AF61" s="59"/>
      <x:c r="AG61" s="59"/>
      <x:c r="AH61" s="59"/>
      <x:c r="AI61" s="59"/>
      <x:c r="AJ61" s="59"/>
      <x:c r="AK61" s="59"/>
      <x:c r="AL61" s="59"/>
      <x:c r="AM61" s="59"/>
      <x:c r="AN61" s="59"/>
      <x:c r="AO61" s="59"/>
      <x:c r="AP61" s="59"/>
      <x:c r="AQ61" s="59"/>
      <x:c r="AR61" s="59"/>
      <x:c r="AS61" s="59"/>
      <x:c r="AT61" s="59"/>
      <x:c r="AU61" s="59"/>
      <x:c r="AV61" s="59"/>
      <x:c r="AW61" s="59"/>
      <x:c r="AX61" s="59"/>
      <x:c r="AY61" s="59"/>
      <x:c r="AZ61" s="59"/>
      <x:c r="BA61" s="59"/>
      <x:c r="BB61" s="59"/>
      <x:c r="BC61" s="59"/>
      <x:c r="BD61" s="59"/>
      <x:c r="BE61" s="59"/>
      <x:c r="BF61" s="59"/>
      <x:c r="BG61" s="59"/>
      <x:c r="BH61" s="59"/>
      <x:c r="BI61" s="59"/>
      <x:c r="BJ61" s="59"/>
      <x:c r="BK61" s="59"/>
      <x:c r="BL61" s="59"/>
      <x:c r="BM61" s="59"/>
      <x:c r="BN61" s="59"/>
      <x:c r="BO61" s="59"/>
      <x:c r="BP61" s="59"/>
      <x:c r="BQ61" s="59"/>
      <x:c r="BR61" s="59"/>
      <x:c r="BS61" s="59"/>
      <x:c r="BT61" s="59"/>
      <x:c r="BU61" s="59"/>
      <x:c r="BV61" s="59"/>
      <x:c r="BW61" s="59"/>
      <x:c r="BX61" s="59"/>
      <x:c r="BY61" s="59"/>
      <x:c r="BZ61" s="59"/>
      <x:c r="CA61" s="59"/>
      <x:c r="CB61" s="59"/>
      <x:c r="CC61" s="59"/>
      <x:c r="CD61" s="59"/>
      <x:c r="CE61" s="59"/>
      <x:c r="CF61" s="59"/>
      <x:c r="CG61" s="59"/>
      <x:c r="CH61" s="59"/>
      <x:c r="CI61" s="59"/>
      <x:c r="CJ61" s="59"/>
      <x:c r="CK61" s="59"/>
      <x:c r="CL61" s="59"/>
      <x:c r="CM61" s="59"/>
      <x:c r="CN61" s="59"/>
      <x:c r="CO61" s="59"/>
      <x:c r="CP61" s="59"/>
      <x:c r="CQ61" s="59"/>
      <x:c r="CR61" s="59"/>
      <x:c r="CS61" s="59"/>
      <x:c r="CT61" s="59"/>
      <x:c r="CU61" s="59"/>
      <x:c r="CV61" s="59"/>
      <x:c r="CW61" s="59"/>
      <x:c r="CX61" s="59"/>
      <x:c r="CY61" s="59"/>
      <x:c r="CZ61" s="59"/>
      <x:c r="DA61" s="59"/>
      <x:c r="DB61" s="59"/>
      <x:c r="DC61" s="59"/>
      <x:c r="DD61" s="59"/>
      <x:c r="DE61" s="59"/>
      <x:c r="DF61" s="59"/>
      <x:c r="DG61" s="59"/>
      <x:c r="DH61" s="59"/>
      <x:c r="DI61" s="59"/>
      <x:c r="DJ61" s="59"/>
      <x:c r="DK61" s="59"/>
      <x:c r="DL61" s="59"/>
      <x:c r="DM61" s="59"/>
      <x:c r="DN61" s="59"/>
      <x:c r="DO61" s="59"/>
      <x:c r="DP61" s="59"/>
      <x:c r="DQ61" s="59"/>
      <x:c r="DR61" s="59"/>
      <x:c r="DS61" s="59"/>
      <x:c r="DT61" s="59"/>
      <x:c r="DU61" s="59"/>
      <x:c r="DV61" s="59"/>
      <x:c r="DW61" s="59"/>
      <x:c r="DX61" s="59"/>
      <x:c r="DY61" s="59"/>
      <x:c r="DZ61" s="59"/>
      <x:c r="EA61" s="59"/>
      <x:c r="EB61" s="59"/>
      <x:c r="EC61" s="59"/>
      <x:c r="ED61" s="59"/>
      <x:c r="EE61" s="59"/>
      <x:c r="EF61" s="59"/>
      <x:c r="EG61" s="59"/>
      <x:c r="EH61" s="59"/>
      <x:c r="EI61" s="59"/>
      <x:c r="EJ61" s="59"/>
      <x:c r="EK61" s="59"/>
      <x:c r="EL61" s="59"/>
      <x:c r="EM61" s="59"/>
      <x:c r="EN61" s="59"/>
      <x:c r="EO61" s="59"/>
      <x:c r="EP61" s="59"/>
      <x:c r="EQ61" s="59"/>
      <x:c r="ER61" s="59"/>
      <x:c r="ES61" s="59"/>
      <x:c r="ET61" s="59"/>
      <x:c r="EU61" s="59"/>
      <x:c r="EV61" s="59"/>
      <x:c r="EW61" s="59"/>
      <x:c r="EX61" s="59"/>
      <x:c r="EY61" s="59"/>
      <x:c r="EZ61" s="59"/>
      <x:c r="FA61" s="59"/>
      <x:c r="FB61" s="59"/>
      <x:c r="FC61" s="59"/>
      <x:c r="FD61" s="59"/>
      <x:c r="FE61" s="59"/>
      <x:c r="FF61" s="59"/>
      <x:c r="FG61" s="59"/>
      <x:c r="FH61" s="59"/>
      <x:c r="FI61" s="59"/>
      <x:c r="FJ61" s="59"/>
      <x:c r="FK61" s="59"/>
      <x:c r="FL61" s="59"/>
      <x:c r="FM61" s="59"/>
      <x:c r="FN61" s="59"/>
      <x:c r="FO61" s="59"/>
      <x:c r="FP61" s="59"/>
      <x:c r="FQ61" s="59"/>
      <x:c r="FR61" s="59"/>
      <x:c r="FS61" s="59"/>
      <x:c r="FT61" s="59"/>
      <x:c r="FU61" s="59"/>
      <x:c r="FV61" s="59"/>
      <x:c r="FW61" s="59"/>
      <x:c r="FX61" s="59"/>
      <x:c r="FY61" s="59"/>
      <x:c r="FZ61" s="59"/>
      <x:c r="GA61" s="59"/>
      <x:c r="GB61" s="59"/>
      <x:c r="GC61" s="59"/>
      <x:c r="GD61" s="59"/>
      <x:c r="GE61" s="59"/>
      <x:c r="GF61" s="59"/>
      <x:c r="GG61" s="59"/>
      <x:c r="GH61" s="59"/>
      <x:c r="GI61" s="59"/>
      <x:c r="GJ61" s="59"/>
      <x:c r="GK61" s="59"/>
      <x:c r="GL61" s="59"/>
      <x:c r="GM61" s="59"/>
      <x:c r="GN61" s="59"/>
      <x:c r="GO61" s="59"/>
      <x:c r="GP61" s="59"/>
      <x:c r="GQ61" s="59"/>
      <x:c r="GR61" s="59"/>
      <x:c r="GS61" s="59"/>
      <x:c r="GT61" s="59"/>
      <x:c r="GU61" s="59"/>
      <x:c r="GV61" s="59"/>
      <x:c r="GW61" s="59"/>
      <x:c r="GX61" s="59"/>
      <x:c r="GY61" s="59"/>
      <x:c r="GZ61" s="59"/>
      <x:c r="HA61" s="59"/>
      <x:c r="HB61" s="59"/>
      <x:c r="HC61" s="59"/>
      <x:c r="HD61" s="59"/>
      <x:c r="HE61" s="59"/>
      <x:c r="HF61" s="59"/>
      <x:c r="HG61" s="59"/>
      <x:c r="HH61" s="59"/>
      <x:c r="HI61" s="59"/>
      <x:c r="HJ61" s="59"/>
      <x:c r="HK61" s="59"/>
      <x:c r="HL61" s="59"/>
      <x:c r="HM61" s="59"/>
      <x:c r="HN61" s="59"/>
      <x:c r="HO61" s="59"/>
      <x:c r="HP61" s="59"/>
      <x:c r="HQ61" s="59"/>
      <x:c r="HR61" s="59"/>
      <x:c r="HS61" s="59"/>
      <x:c r="HT61" s="59"/>
      <x:c r="HU61" s="59"/>
      <x:c r="HV61" s="59"/>
      <x:c r="HW61" s="59"/>
      <x:c r="HX61" s="59"/>
      <x:c r="HY61" s="59"/>
      <x:c r="HZ61" s="59"/>
      <x:c r="IA61" s="59"/>
      <x:c r="IB61" s="59"/>
      <x:c r="IC61" s="59"/>
      <x:c r="ID61" s="59"/>
      <x:c r="IE61" s="59"/>
      <x:c r="IF61" s="59"/>
      <x:c r="IG61" s="59"/>
      <x:c r="IH61" s="59"/>
      <x:c r="II61" s="59"/>
      <x:c r="IJ61" s="59"/>
      <x:c r="IK61" s="59"/>
      <x:c r="IL61" s="59"/>
      <x:c r="IM61" s="59"/>
      <x:c r="IN61" s="59"/>
      <x:c r="IO61" s="59"/>
      <x:c r="IP61" s="59"/>
      <x:c r="IQ61" s="59"/>
      <x:c r="IR61" s="59"/>
      <x:c r="IS61" s="59"/>
      <x:c r="IT61" s="59"/>
      <x:c r="IU61" s="59"/>
      <x:c r="IV61" s="59"/>
      <x:c r="IW61" s="59"/>
      <x:c r="IX61" s="59"/>
      <x:c r="IY61" s="59"/>
      <x:c r="IZ61" s="59"/>
      <x:c r="JA61" s="59"/>
      <x:c r="JB61" s="59"/>
      <x:c r="JC61" s="59"/>
      <x:c r="JD61" s="59"/>
      <x:c r="JE61" s="59"/>
      <x:c r="JF61" s="59"/>
      <x:c r="JG61" s="59"/>
      <x:c r="JH61" s="59"/>
      <x:c r="JI61" s="59"/>
      <x:c r="JJ61" s="59"/>
      <x:c r="JK61" s="59"/>
      <x:c r="JL61" s="59"/>
      <x:c r="JM61" s="59"/>
      <x:c r="JN61" s="59"/>
      <x:c r="JO61" s="59"/>
      <x:c r="JP61" s="59"/>
      <x:c r="JQ61" s="59"/>
      <x:c r="JR61" s="59"/>
      <x:c r="JS61" s="59"/>
      <x:c r="JT61" s="59"/>
      <x:c r="JU61" s="59"/>
      <x:c r="JV61" s="59"/>
      <x:c r="JW61" s="59"/>
      <x:c r="JX61" s="59"/>
      <x:c r="JY61" s="59"/>
      <x:c r="JZ61" s="59"/>
      <x:c r="KA61" s="59"/>
      <x:c r="KB61" s="59"/>
      <x:c r="KC61" s="59"/>
      <x:c r="KD61" s="59"/>
      <x:c r="KE61" s="59"/>
      <x:c r="KF61" s="59"/>
      <x:c r="KG61" s="59"/>
      <x:c r="KH61" s="59"/>
      <x:c r="KI61" s="59"/>
      <x:c r="KJ61" s="59"/>
      <x:c r="KK61" s="59"/>
      <x:c r="KL61" s="59"/>
      <x:c r="KM61" s="59"/>
      <x:c r="KN61" s="59"/>
      <x:c r="KO61" s="59"/>
      <x:c r="KP61" s="59"/>
      <x:c r="KQ61" s="59"/>
      <x:c r="KR61" s="59"/>
      <x:c r="KS61" s="59"/>
      <x:c r="KT61" s="59"/>
      <x:c r="KU61" s="59"/>
      <x:c r="KV61" s="59"/>
      <x:c r="KW61" s="59"/>
      <x:c r="KX61" s="59"/>
      <x:c r="KY61" s="59"/>
      <x:c r="KZ61" s="59"/>
      <x:c r="LA61" s="59"/>
      <x:c r="LB61" s="59"/>
      <x:c r="LC61" s="59"/>
      <x:c r="LD61" s="59"/>
      <x:c r="LE61" s="59"/>
      <x:c r="LF61" s="59"/>
      <x:c r="LG61" s="59"/>
      <x:c r="LH61" s="59"/>
      <x:c r="LI61" s="59"/>
      <x:c r="LJ61" s="59"/>
      <x:c r="LK61" s="59"/>
      <x:c r="LL61" s="59"/>
      <x:c r="LM61" s="59"/>
      <x:c r="LN61" s="59"/>
      <x:c r="LO61" s="59"/>
      <x:c r="LP61" s="59"/>
      <x:c r="LQ61" s="59"/>
      <x:c r="LR61" s="59"/>
      <x:c r="LS61" s="59"/>
      <x:c r="LT61" s="59"/>
      <x:c r="LU61" s="59"/>
      <x:c r="LV61" s="59"/>
      <x:c r="LW61" s="59"/>
      <x:c r="LX61" s="59"/>
      <x:c r="LY61" s="59"/>
      <x:c r="LZ61" s="59"/>
      <x:c r="MA61" s="59"/>
      <x:c r="MB61" s="59"/>
      <x:c r="MC61" s="59"/>
      <x:c r="MD61" s="59"/>
      <x:c r="ME61" s="59"/>
      <x:c r="MF61" s="59"/>
      <x:c r="MG61" s="59"/>
      <x:c r="MH61" s="59"/>
      <x:c r="MI61" s="59"/>
      <x:c r="MJ61" s="59"/>
      <x:c r="MK61" s="59"/>
      <x:c r="ML61" s="59"/>
      <x:c r="MM61" s="59"/>
      <x:c r="MN61" s="59"/>
      <x:c r="MO61" s="59"/>
      <x:c r="MP61" s="59"/>
      <x:c r="MQ61" s="59"/>
      <x:c r="MR61" s="59"/>
      <x:c r="MS61" s="59"/>
      <x:c r="MT61" s="59"/>
      <x:c r="MU61" s="59"/>
      <x:c r="MV61" s="59"/>
      <x:c r="MW61" s="59"/>
      <x:c r="MX61" s="59"/>
      <x:c r="MY61" s="59"/>
      <x:c r="MZ61" s="59"/>
      <x:c r="NA61" s="59"/>
      <x:c r="NB61" s="59"/>
      <x:c r="NC61" s="59"/>
      <x:c r="ND61" s="59"/>
      <x:c r="NE61" s="59"/>
      <x:c r="NF61" s="59"/>
      <x:c r="NG61" s="59"/>
      <x:c r="NH61" s="59"/>
      <x:c r="NI61" s="59"/>
      <x:c r="NJ61" s="59"/>
      <x:c r="NK61" s="59"/>
      <x:c r="NL61" s="59"/>
      <x:c r="NM61" s="59"/>
      <x:c r="NN61" s="59"/>
      <x:c r="NO61" s="59"/>
      <x:c r="NP61" s="59"/>
      <x:c r="NQ61" s="59"/>
      <x:c r="NR61" s="59"/>
      <x:c r="NS61" s="59"/>
      <x:c r="NT61" s="59"/>
      <x:c r="NU61" s="59"/>
      <x:c r="NV61" s="59"/>
      <x:c r="NW61" s="59"/>
      <x:c r="NX61" s="59"/>
      <x:c r="NY61" s="59"/>
      <x:c r="NZ61" s="59"/>
      <x:c r="OA61" s="59"/>
      <x:c r="OB61" s="59"/>
      <x:c r="OC61" s="59"/>
      <x:c r="OD61" s="59"/>
      <x:c r="OE61" s="59"/>
      <x:c r="OF61" s="59"/>
      <x:c r="OG61" s="59"/>
      <x:c r="OH61" s="59"/>
      <x:c r="OI61" s="59"/>
      <x:c r="OJ61" s="59"/>
      <x:c r="OK61" s="59"/>
      <x:c r="OL61" s="59"/>
      <x:c r="OM61" s="59"/>
      <x:c r="ON61" s="59"/>
      <x:c r="OO61" s="59"/>
      <x:c r="OP61" s="59"/>
      <x:c r="OQ61" s="59"/>
      <x:c r="OR61" s="59"/>
      <x:c r="OS61" s="59"/>
      <x:c r="OT61" s="59"/>
      <x:c r="OU61" s="59"/>
      <x:c r="OV61" s="59"/>
      <x:c r="OW61" s="59"/>
      <x:c r="OX61" s="59"/>
      <x:c r="OY61" s="59"/>
      <x:c r="OZ61" s="59"/>
      <x:c r="PA61" s="59"/>
      <x:c r="PB61" s="59"/>
      <x:c r="PC61" s="59"/>
      <x:c r="PD61" s="59"/>
      <x:c r="PE61" s="59"/>
      <x:c r="PF61" s="59"/>
      <x:c r="PG61" s="59"/>
      <x:c r="PH61" s="59"/>
      <x:c r="PI61" s="59"/>
      <x:c r="PJ61" s="59"/>
      <x:c r="PK61" s="59"/>
      <x:c r="PL61" s="59"/>
      <x:c r="PM61" s="59"/>
      <x:c r="PN61" s="59"/>
      <x:c r="PO61" s="59"/>
      <x:c r="PP61" s="59"/>
      <x:c r="PQ61" s="59"/>
      <x:c r="PR61" s="59"/>
      <x:c r="PS61" s="59"/>
      <x:c r="PT61" s="59"/>
      <x:c r="PU61" s="59"/>
      <x:c r="PV61" s="59"/>
      <x:c r="PW61" s="59"/>
      <x:c r="PX61" s="59"/>
      <x:c r="PY61" s="59"/>
      <x:c r="PZ61" s="59"/>
      <x:c r="QA61" s="59"/>
      <x:c r="QB61" s="59"/>
      <x:c r="QC61" s="59"/>
      <x:c r="QD61" s="59"/>
      <x:c r="QE61" s="59"/>
      <x:c r="QF61" s="59"/>
      <x:c r="QG61" s="59"/>
      <x:c r="QH61" s="59"/>
      <x:c r="QI61" s="59"/>
      <x:c r="QJ61" s="59"/>
      <x:c r="QK61" s="59"/>
      <x:c r="QL61" s="59"/>
      <x:c r="QM61" s="59"/>
      <x:c r="QN61" s="59"/>
      <x:c r="QO61" s="59"/>
      <x:c r="QP61" s="59"/>
      <x:c r="QQ61" s="59"/>
      <x:c r="QR61" s="59"/>
      <x:c r="QS61" s="59"/>
      <x:c r="QT61" s="59"/>
      <x:c r="QU61" s="59"/>
      <x:c r="QV61" s="59"/>
      <x:c r="QW61" s="59"/>
      <x:c r="QX61" s="59"/>
      <x:c r="QY61" s="59"/>
      <x:c r="QZ61" s="59"/>
      <x:c r="RA61" s="59"/>
      <x:c r="RB61" s="59"/>
      <x:c r="RC61" s="59"/>
      <x:c r="RD61" s="59"/>
      <x:c r="RE61" s="59"/>
      <x:c r="RF61" s="59"/>
      <x:c r="RG61" s="59"/>
      <x:c r="RH61" s="59"/>
      <x:c r="RI61" s="59"/>
      <x:c r="RJ61" s="59"/>
      <x:c r="RK61" s="59"/>
      <x:c r="RL61" s="59"/>
      <x:c r="RM61" s="59"/>
      <x:c r="RN61" s="59"/>
      <x:c r="RO61" s="59"/>
      <x:c r="RP61" s="59"/>
      <x:c r="RQ61" s="59"/>
      <x:c r="RR61" s="59"/>
      <x:c r="RS61" s="59"/>
      <x:c r="RT61" s="59"/>
      <x:c r="RU61" s="59"/>
      <x:c r="RV61" s="59"/>
      <x:c r="RW61" s="59"/>
      <x:c r="RX61" s="59"/>
      <x:c r="RY61" s="59"/>
      <x:c r="RZ61" s="59"/>
      <x:c r="SA61" s="59"/>
      <x:c r="SB61" s="59"/>
      <x:c r="SC61" s="59"/>
      <x:c r="SD61" s="59"/>
      <x:c r="SE61" s="59"/>
      <x:c r="SF61" s="59"/>
    </x:row>
    <x:row r="62">
      <x:c r="A62" s="61" t="str">
        <x:v>J — Quality Rate %</x:v>
      </x:c>
      <x:c r="B62" s="66" t="s">
        <x:v>112</x:v>
      </x:c>
      <x:c r="C62" s="66"/>
      <x:c r="D62" s="63" t="str">
        <x:v>Quality performance percentage</x:v>
      </x:c>
      <x:c r="E62" s="63"/>
      <x:c r="F62" s="63"/>
      <x:c r="G62" s="63" t="s">
        <x:v>127</x:v>
      </x:c>
      <x:c r="H62" s="63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  <x:c r="AA62" s="59"/>
      <x:c r="AB62" s="59"/>
      <x:c r="AC62" s="59"/>
      <x:c r="AD62" s="59"/>
      <x:c r="AE62" s="59"/>
      <x:c r="AF62" s="59"/>
      <x:c r="AG62" s="59"/>
      <x:c r="AH62" s="59"/>
      <x:c r="AI62" s="59"/>
      <x:c r="AJ62" s="59"/>
      <x:c r="AK62" s="59"/>
      <x:c r="AL62" s="59"/>
      <x:c r="AM62" s="59"/>
      <x:c r="AN62" s="59"/>
      <x:c r="AO62" s="59"/>
      <x:c r="AP62" s="59"/>
      <x:c r="AQ62" s="59"/>
      <x:c r="AR62" s="59"/>
      <x:c r="AS62" s="59"/>
      <x:c r="AT62" s="59"/>
      <x:c r="AU62" s="59"/>
      <x:c r="AV62" s="59"/>
      <x:c r="AW62" s="59"/>
      <x:c r="AX62" s="59"/>
      <x:c r="AY62" s="59"/>
      <x:c r="AZ62" s="59"/>
      <x:c r="BA62" s="59"/>
      <x:c r="BB62" s="59"/>
      <x:c r="BC62" s="59"/>
      <x:c r="BD62" s="59"/>
      <x:c r="BE62" s="59"/>
      <x:c r="BF62" s="59"/>
      <x:c r="BG62" s="59"/>
      <x:c r="BH62" s="59"/>
      <x:c r="BI62" s="59"/>
      <x:c r="BJ62" s="59"/>
      <x:c r="BK62" s="59"/>
      <x:c r="BL62" s="59"/>
      <x:c r="BM62" s="59"/>
      <x:c r="BN62" s="59"/>
      <x:c r="BO62" s="59"/>
      <x:c r="BP62" s="59"/>
      <x:c r="BQ62" s="59"/>
      <x:c r="BR62" s="59"/>
      <x:c r="BS62" s="59"/>
      <x:c r="BT62" s="59"/>
      <x:c r="BU62" s="59"/>
      <x:c r="BV62" s="59"/>
      <x:c r="BW62" s="59"/>
      <x:c r="BX62" s="59"/>
      <x:c r="BY62" s="59"/>
      <x:c r="BZ62" s="59"/>
      <x:c r="CA62" s="59"/>
      <x:c r="CB62" s="59"/>
      <x:c r="CC62" s="59"/>
      <x:c r="CD62" s="59"/>
      <x:c r="CE62" s="59"/>
      <x:c r="CF62" s="59"/>
      <x:c r="CG62" s="59"/>
      <x:c r="CH62" s="59"/>
      <x:c r="CI62" s="59"/>
      <x:c r="CJ62" s="59"/>
      <x:c r="CK62" s="59"/>
      <x:c r="CL62" s="59"/>
      <x:c r="CM62" s="59"/>
      <x:c r="CN62" s="59"/>
      <x:c r="CO62" s="59"/>
      <x:c r="CP62" s="59"/>
      <x:c r="CQ62" s="59"/>
      <x:c r="CR62" s="59"/>
      <x:c r="CS62" s="59"/>
      <x:c r="CT62" s="59"/>
      <x:c r="CU62" s="59"/>
      <x:c r="CV62" s="59"/>
      <x:c r="CW62" s="59"/>
      <x:c r="CX62" s="59"/>
      <x:c r="CY62" s="59"/>
      <x:c r="CZ62" s="59"/>
      <x:c r="DA62" s="59"/>
      <x:c r="DB62" s="59"/>
      <x:c r="DC62" s="59"/>
      <x:c r="DD62" s="59"/>
      <x:c r="DE62" s="59"/>
      <x:c r="DF62" s="59"/>
      <x:c r="DG62" s="59"/>
      <x:c r="DH62" s="59"/>
      <x:c r="DI62" s="59"/>
      <x:c r="DJ62" s="59"/>
      <x:c r="DK62" s="59"/>
      <x:c r="DL62" s="59"/>
      <x:c r="DM62" s="59"/>
      <x:c r="DN62" s="59"/>
      <x:c r="DO62" s="59"/>
      <x:c r="DP62" s="59"/>
      <x:c r="DQ62" s="59"/>
      <x:c r="DR62" s="59"/>
      <x:c r="DS62" s="59"/>
      <x:c r="DT62" s="59"/>
      <x:c r="DU62" s="59"/>
      <x:c r="DV62" s="59"/>
      <x:c r="DW62" s="59"/>
      <x:c r="DX62" s="59"/>
      <x:c r="DY62" s="59"/>
      <x:c r="DZ62" s="59"/>
      <x:c r="EA62" s="59"/>
      <x:c r="EB62" s="59"/>
      <x:c r="EC62" s="59"/>
      <x:c r="ED62" s="59"/>
      <x:c r="EE62" s="59"/>
      <x:c r="EF62" s="59"/>
      <x:c r="EG62" s="59"/>
      <x:c r="EH62" s="59"/>
      <x:c r="EI62" s="59"/>
      <x:c r="EJ62" s="59"/>
      <x:c r="EK62" s="59"/>
      <x:c r="EL62" s="59"/>
      <x:c r="EM62" s="59"/>
      <x:c r="EN62" s="59"/>
      <x:c r="EO62" s="59"/>
      <x:c r="EP62" s="59"/>
      <x:c r="EQ62" s="59"/>
      <x:c r="ER62" s="59"/>
      <x:c r="ES62" s="59"/>
      <x:c r="ET62" s="59"/>
      <x:c r="EU62" s="59"/>
      <x:c r="EV62" s="59"/>
      <x:c r="EW62" s="59"/>
      <x:c r="EX62" s="59"/>
      <x:c r="EY62" s="59"/>
      <x:c r="EZ62" s="59"/>
      <x:c r="FA62" s="59"/>
      <x:c r="FB62" s="59"/>
      <x:c r="FC62" s="59"/>
      <x:c r="FD62" s="59"/>
      <x:c r="FE62" s="59"/>
      <x:c r="FF62" s="59"/>
      <x:c r="FG62" s="59"/>
      <x:c r="FH62" s="59"/>
      <x:c r="FI62" s="59"/>
      <x:c r="FJ62" s="59"/>
      <x:c r="FK62" s="59"/>
      <x:c r="FL62" s="59"/>
      <x:c r="FM62" s="59"/>
      <x:c r="FN62" s="59"/>
      <x:c r="FO62" s="59"/>
      <x:c r="FP62" s="59"/>
      <x:c r="FQ62" s="59"/>
      <x:c r="FR62" s="59"/>
      <x:c r="FS62" s="59"/>
      <x:c r="FT62" s="59"/>
      <x:c r="FU62" s="59"/>
      <x:c r="FV62" s="59"/>
      <x:c r="FW62" s="59"/>
      <x:c r="FX62" s="59"/>
      <x:c r="FY62" s="59"/>
      <x:c r="FZ62" s="59"/>
      <x:c r="GA62" s="59"/>
      <x:c r="GB62" s="59"/>
      <x:c r="GC62" s="59"/>
      <x:c r="GD62" s="59"/>
      <x:c r="GE62" s="59"/>
      <x:c r="GF62" s="59"/>
      <x:c r="GG62" s="59"/>
      <x:c r="GH62" s="59"/>
      <x:c r="GI62" s="59"/>
      <x:c r="GJ62" s="59"/>
      <x:c r="GK62" s="59"/>
      <x:c r="GL62" s="59"/>
      <x:c r="GM62" s="59"/>
      <x:c r="GN62" s="59"/>
      <x:c r="GO62" s="59"/>
      <x:c r="GP62" s="59"/>
      <x:c r="GQ62" s="59"/>
      <x:c r="GR62" s="59"/>
      <x:c r="GS62" s="59"/>
      <x:c r="GT62" s="59"/>
      <x:c r="GU62" s="59"/>
      <x:c r="GV62" s="59"/>
      <x:c r="GW62" s="59"/>
      <x:c r="GX62" s="59"/>
      <x:c r="GY62" s="59"/>
      <x:c r="GZ62" s="59"/>
      <x:c r="HA62" s="59"/>
      <x:c r="HB62" s="59"/>
      <x:c r="HC62" s="59"/>
      <x:c r="HD62" s="59"/>
      <x:c r="HE62" s="59"/>
      <x:c r="HF62" s="59"/>
      <x:c r="HG62" s="59"/>
      <x:c r="HH62" s="59"/>
      <x:c r="HI62" s="59"/>
      <x:c r="HJ62" s="59"/>
      <x:c r="HK62" s="59"/>
      <x:c r="HL62" s="59"/>
      <x:c r="HM62" s="59"/>
      <x:c r="HN62" s="59"/>
      <x:c r="HO62" s="59"/>
      <x:c r="HP62" s="59"/>
      <x:c r="HQ62" s="59"/>
      <x:c r="HR62" s="59"/>
      <x:c r="HS62" s="59"/>
      <x:c r="HT62" s="59"/>
      <x:c r="HU62" s="59"/>
      <x:c r="HV62" s="59"/>
      <x:c r="HW62" s="59"/>
      <x:c r="HX62" s="59"/>
      <x:c r="HY62" s="59"/>
      <x:c r="HZ62" s="59"/>
      <x:c r="IA62" s="59"/>
      <x:c r="IB62" s="59"/>
      <x:c r="IC62" s="59"/>
      <x:c r="ID62" s="59"/>
      <x:c r="IE62" s="59"/>
      <x:c r="IF62" s="59"/>
      <x:c r="IG62" s="59"/>
      <x:c r="IH62" s="59"/>
      <x:c r="II62" s="59"/>
      <x:c r="IJ62" s="59"/>
      <x:c r="IK62" s="59"/>
      <x:c r="IL62" s="59"/>
      <x:c r="IM62" s="59"/>
      <x:c r="IN62" s="59"/>
      <x:c r="IO62" s="59"/>
      <x:c r="IP62" s="59"/>
      <x:c r="IQ62" s="59"/>
      <x:c r="IR62" s="59"/>
      <x:c r="IS62" s="59"/>
      <x:c r="IT62" s="59"/>
      <x:c r="IU62" s="59"/>
      <x:c r="IV62" s="59"/>
      <x:c r="IW62" s="59"/>
      <x:c r="IX62" s="59"/>
      <x:c r="IY62" s="59"/>
      <x:c r="IZ62" s="59"/>
      <x:c r="JA62" s="59"/>
      <x:c r="JB62" s="59"/>
      <x:c r="JC62" s="59"/>
      <x:c r="JD62" s="59"/>
      <x:c r="JE62" s="59"/>
      <x:c r="JF62" s="59"/>
      <x:c r="JG62" s="59"/>
      <x:c r="JH62" s="59"/>
      <x:c r="JI62" s="59"/>
      <x:c r="JJ62" s="59"/>
      <x:c r="JK62" s="59"/>
      <x:c r="JL62" s="59"/>
      <x:c r="JM62" s="59"/>
      <x:c r="JN62" s="59"/>
      <x:c r="JO62" s="59"/>
      <x:c r="JP62" s="59"/>
      <x:c r="JQ62" s="59"/>
      <x:c r="JR62" s="59"/>
      <x:c r="JS62" s="59"/>
      <x:c r="JT62" s="59"/>
      <x:c r="JU62" s="59"/>
      <x:c r="JV62" s="59"/>
      <x:c r="JW62" s="59"/>
      <x:c r="JX62" s="59"/>
      <x:c r="JY62" s="59"/>
      <x:c r="JZ62" s="59"/>
      <x:c r="KA62" s="59"/>
      <x:c r="KB62" s="59"/>
      <x:c r="KC62" s="59"/>
      <x:c r="KD62" s="59"/>
      <x:c r="KE62" s="59"/>
      <x:c r="KF62" s="59"/>
      <x:c r="KG62" s="59"/>
      <x:c r="KH62" s="59"/>
      <x:c r="KI62" s="59"/>
      <x:c r="KJ62" s="59"/>
      <x:c r="KK62" s="59"/>
      <x:c r="KL62" s="59"/>
      <x:c r="KM62" s="59"/>
      <x:c r="KN62" s="59"/>
      <x:c r="KO62" s="59"/>
      <x:c r="KP62" s="59"/>
      <x:c r="KQ62" s="59"/>
      <x:c r="KR62" s="59"/>
      <x:c r="KS62" s="59"/>
      <x:c r="KT62" s="59"/>
      <x:c r="KU62" s="59"/>
      <x:c r="KV62" s="59"/>
      <x:c r="KW62" s="59"/>
      <x:c r="KX62" s="59"/>
      <x:c r="KY62" s="59"/>
      <x:c r="KZ62" s="59"/>
      <x:c r="LA62" s="59"/>
      <x:c r="LB62" s="59"/>
      <x:c r="LC62" s="59"/>
      <x:c r="LD62" s="59"/>
      <x:c r="LE62" s="59"/>
      <x:c r="LF62" s="59"/>
      <x:c r="LG62" s="59"/>
      <x:c r="LH62" s="59"/>
      <x:c r="LI62" s="59"/>
      <x:c r="LJ62" s="59"/>
      <x:c r="LK62" s="59"/>
      <x:c r="LL62" s="59"/>
      <x:c r="LM62" s="59"/>
      <x:c r="LN62" s="59"/>
      <x:c r="LO62" s="59"/>
      <x:c r="LP62" s="59"/>
      <x:c r="LQ62" s="59"/>
      <x:c r="LR62" s="59"/>
      <x:c r="LS62" s="59"/>
      <x:c r="LT62" s="59"/>
      <x:c r="LU62" s="59"/>
      <x:c r="LV62" s="59"/>
      <x:c r="LW62" s="59"/>
      <x:c r="LX62" s="59"/>
      <x:c r="LY62" s="59"/>
      <x:c r="LZ62" s="59"/>
      <x:c r="MA62" s="59"/>
      <x:c r="MB62" s="59"/>
      <x:c r="MC62" s="59"/>
      <x:c r="MD62" s="59"/>
      <x:c r="ME62" s="59"/>
      <x:c r="MF62" s="59"/>
      <x:c r="MG62" s="59"/>
      <x:c r="MH62" s="59"/>
      <x:c r="MI62" s="59"/>
      <x:c r="MJ62" s="59"/>
      <x:c r="MK62" s="59"/>
      <x:c r="ML62" s="59"/>
      <x:c r="MM62" s="59"/>
      <x:c r="MN62" s="59"/>
      <x:c r="MO62" s="59"/>
      <x:c r="MP62" s="59"/>
      <x:c r="MQ62" s="59"/>
      <x:c r="MR62" s="59"/>
      <x:c r="MS62" s="59"/>
      <x:c r="MT62" s="59"/>
      <x:c r="MU62" s="59"/>
      <x:c r="MV62" s="59"/>
      <x:c r="MW62" s="59"/>
      <x:c r="MX62" s="59"/>
      <x:c r="MY62" s="59"/>
      <x:c r="MZ62" s="59"/>
      <x:c r="NA62" s="59"/>
      <x:c r="NB62" s="59"/>
      <x:c r="NC62" s="59"/>
      <x:c r="ND62" s="59"/>
      <x:c r="NE62" s="59"/>
      <x:c r="NF62" s="59"/>
      <x:c r="NG62" s="59"/>
      <x:c r="NH62" s="59"/>
      <x:c r="NI62" s="59"/>
      <x:c r="NJ62" s="59"/>
      <x:c r="NK62" s="59"/>
      <x:c r="NL62" s="59"/>
      <x:c r="NM62" s="59"/>
      <x:c r="NN62" s="59"/>
      <x:c r="NO62" s="59"/>
      <x:c r="NP62" s="59"/>
      <x:c r="NQ62" s="59"/>
      <x:c r="NR62" s="59"/>
      <x:c r="NS62" s="59"/>
      <x:c r="NT62" s="59"/>
      <x:c r="NU62" s="59"/>
      <x:c r="NV62" s="59"/>
      <x:c r="NW62" s="59"/>
      <x:c r="NX62" s="59"/>
      <x:c r="NY62" s="59"/>
      <x:c r="NZ62" s="59"/>
      <x:c r="OA62" s="59"/>
      <x:c r="OB62" s="59"/>
      <x:c r="OC62" s="59"/>
      <x:c r="OD62" s="59"/>
      <x:c r="OE62" s="59"/>
      <x:c r="OF62" s="59"/>
      <x:c r="OG62" s="59"/>
      <x:c r="OH62" s="59"/>
      <x:c r="OI62" s="59"/>
      <x:c r="OJ62" s="59"/>
      <x:c r="OK62" s="59"/>
      <x:c r="OL62" s="59"/>
      <x:c r="OM62" s="59"/>
      <x:c r="ON62" s="59"/>
      <x:c r="OO62" s="59"/>
      <x:c r="OP62" s="59"/>
      <x:c r="OQ62" s="59"/>
      <x:c r="OR62" s="59"/>
      <x:c r="OS62" s="59"/>
      <x:c r="OT62" s="59"/>
      <x:c r="OU62" s="59"/>
      <x:c r="OV62" s="59"/>
      <x:c r="OW62" s="59"/>
      <x:c r="OX62" s="59"/>
      <x:c r="OY62" s="59"/>
      <x:c r="OZ62" s="59"/>
      <x:c r="PA62" s="59"/>
      <x:c r="PB62" s="59"/>
      <x:c r="PC62" s="59"/>
      <x:c r="PD62" s="59"/>
      <x:c r="PE62" s="59"/>
      <x:c r="PF62" s="59"/>
      <x:c r="PG62" s="59"/>
      <x:c r="PH62" s="59"/>
      <x:c r="PI62" s="59"/>
      <x:c r="PJ62" s="59"/>
      <x:c r="PK62" s="59"/>
      <x:c r="PL62" s="59"/>
      <x:c r="PM62" s="59"/>
      <x:c r="PN62" s="59"/>
      <x:c r="PO62" s="59"/>
      <x:c r="PP62" s="59"/>
      <x:c r="PQ62" s="59"/>
      <x:c r="PR62" s="59"/>
      <x:c r="PS62" s="59"/>
      <x:c r="PT62" s="59"/>
      <x:c r="PU62" s="59"/>
      <x:c r="PV62" s="59"/>
      <x:c r="PW62" s="59"/>
      <x:c r="PX62" s="59"/>
      <x:c r="PY62" s="59"/>
      <x:c r="PZ62" s="59"/>
      <x:c r="QA62" s="59"/>
      <x:c r="QB62" s="59"/>
      <x:c r="QC62" s="59"/>
      <x:c r="QD62" s="59"/>
      <x:c r="QE62" s="59"/>
      <x:c r="QF62" s="59"/>
      <x:c r="QG62" s="59"/>
      <x:c r="QH62" s="59"/>
      <x:c r="QI62" s="59"/>
      <x:c r="QJ62" s="59"/>
      <x:c r="QK62" s="59"/>
      <x:c r="QL62" s="59"/>
      <x:c r="QM62" s="59"/>
      <x:c r="QN62" s="59"/>
      <x:c r="QO62" s="59"/>
      <x:c r="QP62" s="59"/>
      <x:c r="QQ62" s="59"/>
      <x:c r="QR62" s="59"/>
      <x:c r="QS62" s="59"/>
      <x:c r="QT62" s="59"/>
      <x:c r="QU62" s="59"/>
      <x:c r="QV62" s="59"/>
      <x:c r="QW62" s="59"/>
      <x:c r="QX62" s="59"/>
      <x:c r="QY62" s="59"/>
      <x:c r="QZ62" s="59"/>
      <x:c r="RA62" s="59"/>
      <x:c r="RB62" s="59"/>
      <x:c r="RC62" s="59"/>
      <x:c r="RD62" s="59"/>
      <x:c r="RE62" s="59"/>
      <x:c r="RF62" s="59"/>
      <x:c r="RG62" s="59"/>
      <x:c r="RH62" s="59"/>
      <x:c r="RI62" s="59"/>
      <x:c r="RJ62" s="59"/>
      <x:c r="RK62" s="59"/>
      <x:c r="RL62" s="59"/>
      <x:c r="RM62" s="59"/>
      <x:c r="RN62" s="59"/>
      <x:c r="RO62" s="59"/>
      <x:c r="RP62" s="59"/>
      <x:c r="RQ62" s="59"/>
      <x:c r="RR62" s="59"/>
      <x:c r="RS62" s="59"/>
      <x:c r="RT62" s="59"/>
      <x:c r="RU62" s="59"/>
      <x:c r="RV62" s="59"/>
      <x:c r="RW62" s="59"/>
      <x:c r="RX62" s="59"/>
      <x:c r="RY62" s="59"/>
      <x:c r="RZ62" s="59"/>
      <x:c r="SA62" s="59"/>
      <x:c r="SB62" s="59"/>
      <x:c r="SC62" s="59"/>
      <x:c r="SD62" s="59"/>
      <x:c r="SE62" s="59"/>
      <x:c r="SF62" s="59"/>
    </x:row>
    <x:row r="63">
      <x:c r="A63" s="61" t="str">
        <x:v>K — Retention %</x:v>
      </x:c>
      <x:c r="B63" s="66" t="s">
        <x:v>112</x:v>
      </x:c>
      <x:c r="C63" s="66"/>
      <x:c r="D63" s="63" t="str">
        <x:v>Retention percentage</x:v>
      </x:c>
      <x:c r="E63" s="63"/>
      <x:c r="F63" s="63"/>
      <x:c r="G63" s="63" t="s">
        <x:v>128</x:v>
      </x:c>
      <x:c r="H63" s="63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  <x:c r="AA63" s="59"/>
      <x:c r="AB63" s="59"/>
      <x:c r="AC63" s="59"/>
      <x:c r="AD63" s="59"/>
      <x:c r="AE63" s="59"/>
      <x:c r="AF63" s="59"/>
      <x:c r="AG63" s="59"/>
      <x:c r="AH63" s="59"/>
      <x:c r="AI63" s="59"/>
      <x:c r="AJ63" s="59"/>
      <x:c r="AK63" s="59"/>
      <x:c r="AL63" s="59"/>
      <x:c r="AM63" s="59"/>
      <x:c r="AN63" s="59"/>
      <x:c r="AO63" s="59"/>
      <x:c r="AP63" s="59"/>
      <x:c r="AQ63" s="59"/>
      <x:c r="AR63" s="59"/>
      <x:c r="AS63" s="59"/>
      <x:c r="AT63" s="59"/>
      <x:c r="AU63" s="59"/>
      <x:c r="AV63" s="59"/>
      <x:c r="AW63" s="59"/>
      <x:c r="AX63" s="59"/>
      <x:c r="AY63" s="59"/>
      <x:c r="AZ63" s="59"/>
      <x:c r="BA63" s="59"/>
      <x:c r="BB63" s="59"/>
      <x:c r="BC63" s="59"/>
      <x:c r="BD63" s="59"/>
      <x:c r="BE63" s="59"/>
      <x:c r="BF63" s="59"/>
      <x:c r="BG63" s="59"/>
      <x:c r="BH63" s="59"/>
      <x:c r="BI63" s="59"/>
      <x:c r="BJ63" s="59"/>
      <x:c r="BK63" s="59"/>
      <x:c r="BL63" s="59"/>
      <x:c r="BM63" s="59"/>
      <x:c r="BN63" s="59"/>
      <x:c r="BO63" s="59"/>
      <x:c r="BP63" s="59"/>
      <x:c r="BQ63" s="59"/>
      <x:c r="BR63" s="59"/>
      <x:c r="BS63" s="59"/>
      <x:c r="BT63" s="59"/>
      <x:c r="BU63" s="59"/>
      <x:c r="BV63" s="59"/>
      <x:c r="BW63" s="59"/>
      <x:c r="BX63" s="59"/>
      <x:c r="BY63" s="59"/>
      <x:c r="BZ63" s="59"/>
      <x:c r="CA63" s="59"/>
      <x:c r="CB63" s="59"/>
      <x:c r="CC63" s="59"/>
      <x:c r="CD63" s="59"/>
      <x:c r="CE63" s="59"/>
      <x:c r="CF63" s="59"/>
      <x:c r="CG63" s="59"/>
      <x:c r="CH63" s="59"/>
      <x:c r="CI63" s="59"/>
      <x:c r="CJ63" s="59"/>
      <x:c r="CK63" s="59"/>
      <x:c r="CL63" s="59"/>
      <x:c r="CM63" s="59"/>
      <x:c r="CN63" s="59"/>
      <x:c r="CO63" s="59"/>
      <x:c r="CP63" s="59"/>
      <x:c r="CQ63" s="59"/>
      <x:c r="CR63" s="59"/>
      <x:c r="CS63" s="59"/>
      <x:c r="CT63" s="59"/>
      <x:c r="CU63" s="59"/>
      <x:c r="CV63" s="59"/>
      <x:c r="CW63" s="59"/>
      <x:c r="CX63" s="59"/>
      <x:c r="CY63" s="59"/>
      <x:c r="CZ63" s="59"/>
      <x:c r="DA63" s="59"/>
      <x:c r="DB63" s="59"/>
      <x:c r="DC63" s="59"/>
      <x:c r="DD63" s="59"/>
      <x:c r="DE63" s="59"/>
      <x:c r="DF63" s="59"/>
      <x:c r="DG63" s="59"/>
      <x:c r="DH63" s="59"/>
      <x:c r="DI63" s="59"/>
      <x:c r="DJ63" s="59"/>
      <x:c r="DK63" s="59"/>
      <x:c r="DL63" s="59"/>
      <x:c r="DM63" s="59"/>
      <x:c r="DN63" s="59"/>
      <x:c r="DO63" s="59"/>
      <x:c r="DP63" s="59"/>
      <x:c r="DQ63" s="59"/>
      <x:c r="DR63" s="59"/>
      <x:c r="DS63" s="59"/>
      <x:c r="DT63" s="59"/>
      <x:c r="DU63" s="59"/>
      <x:c r="DV63" s="59"/>
      <x:c r="DW63" s="59"/>
      <x:c r="DX63" s="59"/>
      <x:c r="DY63" s="59"/>
      <x:c r="DZ63" s="59"/>
      <x:c r="EA63" s="59"/>
      <x:c r="EB63" s="59"/>
      <x:c r="EC63" s="59"/>
      <x:c r="ED63" s="59"/>
      <x:c r="EE63" s="59"/>
      <x:c r="EF63" s="59"/>
      <x:c r="EG63" s="59"/>
      <x:c r="EH63" s="59"/>
      <x:c r="EI63" s="59"/>
      <x:c r="EJ63" s="59"/>
      <x:c r="EK63" s="59"/>
      <x:c r="EL63" s="59"/>
      <x:c r="EM63" s="59"/>
      <x:c r="EN63" s="59"/>
      <x:c r="EO63" s="59"/>
      <x:c r="EP63" s="59"/>
      <x:c r="EQ63" s="59"/>
      <x:c r="ER63" s="59"/>
      <x:c r="ES63" s="59"/>
      <x:c r="ET63" s="59"/>
      <x:c r="EU63" s="59"/>
      <x:c r="EV63" s="59"/>
      <x:c r="EW63" s="59"/>
      <x:c r="EX63" s="59"/>
      <x:c r="EY63" s="59"/>
      <x:c r="EZ63" s="59"/>
      <x:c r="FA63" s="59"/>
      <x:c r="FB63" s="59"/>
      <x:c r="FC63" s="59"/>
      <x:c r="FD63" s="59"/>
      <x:c r="FE63" s="59"/>
      <x:c r="FF63" s="59"/>
      <x:c r="FG63" s="59"/>
      <x:c r="FH63" s="59"/>
      <x:c r="FI63" s="59"/>
      <x:c r="FJ63" s="59"/>
      <x:c r="FK63" s="59"/>
      <x:c r="FL63" s="59"/>
      <x:c r="FM63" s="59"/>
      <x:c r="FN63" s="59"/>
      <x:c r="FO63" s="59"/>
      <x:c r="FP63" s="59"/>
      <x:c r="FQ63" s="59"/>
      <x:c r="FR63" s="59"/>
      <x:c r="FS63" s="59"/>
      <x:c r="FT63" s="59"/>
      <x:c r="FU63" s="59"/>
      <x:c r="FV63" s="59"/>
      <x:c r="FW63" s="59"/>
      <x:c r="FX63" s="59"/>
      <x:c r="FY63" s="59"/>
      <x:c r="FZ63" s="59"/>
      <x:c r="GA63" s="59"/>
      <x:c r="GB63" s="59"/>
      <x:c r="GC63" s="59"/>
      <x:c r="GD63" s="59"/>
      <x:c r="GE63" s="59"/>
      <x:c r="GF63" s="59"/>
      <x:c r="GG63" s="59"/>
      <x:c r="GH63" s="59"/>
      <x:c r="GI63" s="59"/>
      <x:c r="GJ63" s="59"/>
      <x:c r="GK63" s="59"/>
      <x:c r="GL63" s="59"/>
      <x:c r="GM63" s="59"/>
      <x:c r="GN63" s="59"/>
      <x:c r="GO63" s="59"/>
      <x:c r="GP63" s="59"/>
      <x:c r="GQ63" s="59"/>
      <x:c r="GR63" s="59"/>
      <x:c r="GS63" s="59"/>
      <x:c r="GT63" s="59"/>
      <x:c r="GU63" s="59"/>
      <x:c r="GV63" s="59"/>
      <x:c r="GW63" s="59"/>
      <x:c r="GX63" s="59"/>
      <x:c r="GY63" s="59"/>
      <x:c r="GZ63" s="59"/>
      <x:c r="HA63" s="59"/>
      <x:c r="HB63" s="59"/>
      <x:c r="HC63" s="59"/>
      <x:c r="HD63" s="59"/>
      <x:c r="HE63" s="59"/>
      <x:c r="HF63" s="59"/>
      <x:c r="HG63" s="59"/>
      <x:c r="HH63" s="59"/>
      <x:c r="HI63" s="59"/>
      <x:c r="HJ63" s="59"/>
      <x:c r="HK63" s="59"/>
      <x:c r="HL63" s="59"/>
      <x:c r="HM63" s="59"/>
      <x:c r="HN63" s="59"/>
      <x:c r="HO63" s="59"/>
      <x:c r="HP63" s="59"/>
      <x:c r="HQ63" s="59"/>
      <x:c r="HR63" s="59"/>
      <x:c r="HS63" s="59"/>
      <x:c r="HT63" s="59"/>
      <x:c r="HU63" s="59"/>
      <x:c r="HV63" s="59"/>
      <x:c r="HW63" s="59"/>
      <x:c r="HX63" s="59"/>
      <x:c r="HY63" s="59"/>
      <x:c r="HZ63" s="59"/>
      <x:c r="IA63" s="59"/>
      <x:c r="IB63" s="59"/>
      <x:c r="IC63" s="59"/>
      <x:c r="ID63" s="59"/>
      <x:c r="IE63" s="59"/>
      <x:c r="IF63" s="59"/>
      <x:c r="IG63" s="59"/>
      <x:c r="IH63" s="59"/>
      <x:c r="II63" s="59"/>
      <x:c r="IJ63" s="59"/>
      <x:c r="IK63" s="59"/>
      <x:c r="IL63" s="59"/>
      <x:c r="IM63" s="59"/>
      <x:c r="IN63" s="59"/>
      <x:c r="IO63" s="59"/>
      <x:c r="IP63" s="59"/>
      <x:c r="IQ63" s="59"/>
      <x:c r="IR63" s="59"/>
      <x:c r="IS63" s="59"/>
      <x:c r="IT63" s="59"/>
      <x:c r="IU63" s="59"/>
      <x:c r="IV63" s="59"/>
      <x:c r="IW63" s="59"/>
      <x:c r="IX63" s="59"/>
      <x:c r="IY63" s="59"/>
      <x:c r="IZ63" s="59"/>
      <x:c r="JA63" s="59"/>
      <x:c r="JB63" s="59"/>
      <x:c r="JC63" s="59"/>
      <x:c r="JD63" s="59"/>
      <x:c r="JE63" s="59"/>
      <x:c r="JF63" s="59"/>
      <x:c r="JG63" s="59"/>
      <x:c r="JH63" s="59"/>
      <x:c r="JI63" s="59"/>
      <x:c r="JJ63" s="59"/>
      <x:c r="JK63" s="59"/>
      <x:c r="JL63" s="59"/>
      <x:c r="JM63" s="59"/>
      <x:c r="JN63" s="59"/>
      <x:c r="JO63" s="59"/>
      <x:c r="JP63" s="59"/>
      <x:c r="JQ63" s="59"/>
      <x:c r="JR63" s="59"/>
      <x:c r="JS63" s="59"/>
      <x:c r="JT63" s="59"/>
      <x:c r="JU63" s="59"/>
      <x:c r="JV63" s="59"/>
      <x:c r="JW63" s="59"/>
      <x:c r="JX63" s="59"/>
      <x:c r="JY63" s="59"/>
      <x:c r="JZ63" s="59"/>
      <x:c r="KA63" s="59"/>
      <x:c r="KB63" s="59"/>
      <x:c r="KC63" s="59"/>
      <x:c r="KD63" s="59"/>
      <x:c r="KE63" s="59"/>
      <x:c r="KF63" s="59"/>
      <x:c r="KG63" s="59"/>
      <x:c r="KH63" s="59"/>
      <x:c r="KI63" s="59"/>
      <x:c r="KJ63" s="59"/>
      <x:c r="KK63" s="59"/>
      <x:c r="KL63" s="59"/>
      <x:c r="KM63" s="59"/>
      <x:c r="KN63" s="59"/>
      <x:c r="KO63" s="59"/>
      <x:c r="KP63" s="59"/>
      <x:c r="KQ63" s="59"/>
      <x:c r="KR63" s="59"/>
      <x:c r="KS63" s="59"/>
      <x:c r="KT63" s="59"/>
      <x:c r="KU63" s="59"/>
      <x:c r="KV63" s="59"/>
      <x:c r="KW63" s="59"/>
      <x:c r="KX63" s="59"/>
      <x:c r="KY63" s="59"/>
      <x:c r="KZ63" s="59"/>
      <x:c r="LA63" s="59"/>
      <x:c r="LB63" s="59"/>
      <x:c r="LC63" s="59"/>
      <x:c r="LD63" s="59"/>
      <x:c r="LE63" s="59"/>
      <x:c r="LF63" s="59"/>
      <x:c r="LG63" s="59"/>
      <x:c r="LH63" s="59"/>
      <x:c r="LI63" s="59"/>
      <x:c r="LJ63" s="59"/>
      <x:c r="LK63" s="59"/>
      <x:c r="LL63" s="59"/>
      <x:c r="LM63" s="59"/>
      <x:c r="LN63" s="59"/>
      <x:c r="LO63" s="59"/>
      <x:c r="LP63" s="59"/>
      <x:c r="LQ63" s="59"/>
      <x:c r="LR63" s="59"/>
      <x:c r="LS63" s="59"/>
      <x:c r="LT63" s="59"/>
      <x:c r="LU63" s="59"/>
      <x:c r="LV63" s="59"/>
      <x:c r="LW63" s="59"/>
      <x:c r="LX63" s="59"/>
      <x:c r="LY63" s="59"/>
      <x:c r="LZ63" s="59"/>
      <x:c r="MA63" s="59"/>
      <x:c r="MB63" s="59"/>
      <x:c r="MC63" s="59"/>
      <x:c r="MD63" s="59"/>
      <x:c r="ME63" s="59"/>
      <x:c r="MF63" s="59"/>
      <x:c r="MG63" s="59"/>
      <x:c r="MH63" s="59"/>
      <x:c r="MI63" s="59"/>
      <x:c r="MJ63" s="59"/>
      <x:c r="MK63" s="59"/>
      <x:c r="ML63" s="59"/>
      <x:c r="MM63" s="59"/>
      <x:c r="MN63" s="59"/>
      <x:c r="MO63" s="59"/>
      <x:c r="MP63" s="59"/>
      <x:c r="MQ63" s="59"/>
      <x:c r="MR63" s="59"/>
      <x:c r="MS63" s="59"/>
      <x:c r="MT63" s="59"/>
      <x:c r="MU63" s="59"/>
      <x:c r="MV63" s="59"/>
      <x:c r="MW63" s="59"/>
      <x:c r="MX63" s="59"/>
      <x:c r="MY63" s="59"/>
      <x:c r="MZ63" s="59"/>
      <x:c r="NA63" s="59"/>
      <x:c r="NB63" s="59"/>
      <x:c r="NC63" s="59"/>
      <x:c r="ND63" s="59"/>
      <x:c r="NE63" s="59"/>
      <x:c r="NF63" s="59"/>
      <x:c r="NG63" s="59"/>
      <x:c r="NH63" s="59"/>
      <x:c r="NI63" s="59"/>
      <x:c r="NJ63" s="59"/>
      <x:c r="NK63" s="59"/>
      <x:c r="NL63" s="59"/>
      <x:c r="NM63" s="59"/>
      <x:c r="NN63" s="59"/>
      <x:c r="NO63" s="59"/>
      <x:c r="NP63" s="59"/>
      <x:c r="NQ63" s="59"/>
      <x:c r="NR63" s="59"/>
      <x:c r="NS63" s="59"/>
      <x:c r="NT63" s="59"/>
      <x:c r="NU63" s="59"/>
      <x:c r="NV63" s="59"/>
      <x:c r="NW63" s="59"/>
      <x:c r="NX63" s="59"/>
      <x:c r="NY63" s="59"/>
      <x:c r="NZ63" s="59"/>
      <x:c r="OA63" s="59"/>
      <x:c r="OB63" s="59"/>
      <x:c r="OC63" s="59"/>
      <x:c r="OD63" s="59"/>
      <x:c r="OE63" s="59"/>
      <x:c r="OF63" s="59"/>
      <x:c r="OG63" s="59"/>
      <x:c r="OH63" s="59"/>
      <x:c r="OI63" s="59"/>
      <x:c r="OJ63" s="59"/>
      <x:c r="OK63" s="59"/>
      <x:c r="OL63" s="59"/>
      <x:c r="OM63" s="59"/>
      <x:c r="ON63" s="59"/>
      <x:c r="OO63" s="59"/>
      <x:c r="OP63" s="59"/>
      <x:c r="OQ63" s="59"/>
      <x:c r="OR63" s="59"/>
      <x:c r="OS63" s="59"/>
      <x:c r="OT63" s="59"/>
      <x:c r="OU63" s="59"/>
      <x:c r="OV63" s="59"/>
      <x:c r="OW63" s="59"/>
      <x:c r="OX63" s="59"/>
      <x:c r="OY63" s="59"/>
      <x:c r="OZ63" s="59"/>
      <x:c r="PA63" s="59"/>
      <x:c r="PB63" s="59"/>
      <x:c r="PC63" s="59"/>
      <x:c r="PD63" s="59"/>
      <x:c r="PE63" s="59"/>
      <x:c r="PF63" s="59"/>
      <x:c r="PG63" s="59"/>
      <x:c r="PH63" s="59"/>
      <x:c r="PI63" s="59"/>
      <x:c r="PJ63" s="59"/>
      <x:c r="PK63" s="59"/>
      <x:c r="PL63" s="59"/>
      <x:c r="PM63" s="59"/>
      <x:c r="PN63" s="59"/>
      <x:c r="PO63" s="59"/>
      <x:c r="PP63" s="59"/>
      <x:c r="PQ63" s="59"/>
      <x:c r="PR63" s="59"/>
      <x:c r="PS63" s="59"/>
      <x:c r="PT63" s="59"/>
      <x:c r="PU63" s="59"/>
      <x:c r="PV63" s="59"/>
      <x:c r="PW63" s="59"/>
      <x:c r="PX63" s="59"/>
      <x:c r="PY63" s="59"/>
      <x:c r="PZ63" s="59"/>
      <x:c r="QA63" s="59"/>
      <x:c r="QB63" s="59"/>
      <x:c r="QC63" s="59"/>
      <x:c r="QD63" s="59"/>
      <x:c r="QE63" s="59"/>
      <x:c r="QF63" s="59"/>
      <x:c r="QG63" s="59"/>
      <x:c r="QH63" s="59"/>
      <x:c r="QI63" s="59"/>
      <x:c r="QJ63" s="59"/>
      <x:c r="QK63" s="59"/>
      <x:c r="QL63" s="59"/>
      <x:c r="QM63" s="59"/>
      <x:c r="QN63" s="59"/>
      <x:c r="QO63" s="59"/>
      <x:c r="QP63" s="59"/>
      <x:c r="QQ63" s="59"/>
      <x:c r="QR63" s="59"/>
      <x:c r="QS63" s="59"/>
      <x:c r="QT63" s="59"/>
      <x:c r="QU63" s="59"/>
      <x:c r="QV63" s="59"/>
      <x:c r="QW63" s="59"/>
      <x:c r="QX63" s="59"/>
      <x:c r="QY63" s="59"/>
      <x:c r="QZ63" s="59"/>
      <x:c r="RA63" s="59"/>
      <x:c r="RB63" s="59"/>
      <x:c r="RC63" s="59"/>
      <x:c r="RD63" s="59"/>
      <x:c r="RE63" s="59"/>
      <x:c r="RF63" s="59"/>
      <x:c r="RG63" s="59"/>
      <x:c r="RH63" s="59"/>
      <x:c r="RI63" s="59"/>
      <x:c r="RJ63" s="59"/>
      <x:c r="RK63" s="59"/>
      <x:c r="RL63" s="59"/>
      <x:c r="RM63" s="59"/>
      <x:c r="RN63" s="59"/>
      <x:c r="RO63" s="59"/>
      <x:c r="RP63" s="59"/>
      <x:c r="RQ63" s="59"/>
      <x:c r="RR63" s="59"/>
      <x:c r="RS63" s="59"/>
      <x:c r="RT63" s="59"/>
      <x:c r="RU63" s="59"/>
      <x:c r="RV63" s="59"/>
      <x:c r="RW63" s="59"/>
      <x:c r="RX63" s="59"/>
      <x:c r="RY63" s="59"/>
      <x:c r="RZ63" s="59"/>
      <x:c r="SA63" s="59"/>
      <x:c r="SB63" s="59"/>
      <x:c r="SC63" s="59"/>
      <x:c r="SD63" s="59"/>
      <x:c r="SE63" s="59"/>
      <x:c r="SF63" s="59"/>
    </x:row>
    <x:row r="64">
      <x:c r="A64" s="61" t="str">
        <x:v>L — Follow-Up Rate %</x:v>
      </x:c>
      <x:c r="B64" s="66" t="s">
        <x:v>112</x:v>
      </x:c>
      <x:c r="C64" s="66"/>
      <x:c r="D64" s="63" t="str">
        <x:v>Follow-up completion percentage</x:v>
      </x:c>
      <x:c r="E64" s="63"/>
      <x:c r="F64" s="63"/>
      <x:c r="G64" s="63" t="s">
        <x:v>129</x:v>
      </x:c>
      <x:c r="H64" s="63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  <x:c r="AA64" s="59"/>
      <x:c r="AB64" s="59"/>
      <x:c r="AC64" s="59"/>
      <x:c r="AD64" s="59"/>
      <x:c r="AE64" s="59"/>
      <x:c r="AF64" s="59"/>
      <x:c r="AG64" s="59"/>
      <x:c r="AH64" s="59"/>
      <x:c r="AI64" s="59"/>
      <x:c r="AJ64" s="59"/>
      <x:c r="AK64" s="59"/>
      <x:c r="AL64" s="59"/>
      <x:c r="AM64" s="59"/>
      <x:c r="AN64" s="59"/>
      <x:c r="AO64" s="59"/>
      <x:c r="AP64" s="59"/>
      <x:c r="AQ64" s="59"/>
      <x:c r="AR64" s="59"/>
      <x:c r="AS64" s="59"/>
      <x:c r="AT64" s="59"/>
      <x:c r="AU64" s="59"/>
      <x:c r="AV64" s="59"/>
      <x:c r="AW64" s="59"/>
      <x:c r="AX64" s="59"/>
      <x:c r="AY64" s="59"/>
      <x:c r="AZ64" s="59"/>
      <x:c r="BA64" s="59"/>
      <x:c r="BB64" s="59"/>
      <x:c r="BC64" s="59"/>
      <x:c r="BD64" s="59"/>
      <x:c r="BE64" s="59"/>
      <x:c r="BF64" s="59"/>
      <x:c r="BG64" s="59"/>
      <x:c r="BH64" s="59"/>
      <x:c r="BI64" s="59"/>
      <x:c r="BJ64" s="59"/>
      <x:c r="BK64" s="59"/>
      <x:c r="BL64" s="59"/>
      <x:c r="BM64" s="59"/>
      <x:c r="BN64" s="59"/>
      <x:c r="BO64" s="59"/>
      <x:c r="BP64" s="59"/>
      <x:c r="BQ64" s="59"/>
      <x:c r="BR64" s="59"/>
      <x:c r="BS64" s="59"/>
      <x:c r="BT64" s="59"/>
      <x:c r="BU64" s="59"/>
      <x:c r="BV64" s="59"/>
      <x:c r="BW64" s="59"/>
      <x:c r="BX64" s="59"/>
      <x:c r="BY64" s="59"/>
      <x:c r="BZ64" s="59"/>
      <x:c r="CA64" s="59"/>
      <x:c r="CB64" s="59"/>
      <x:c r="CC64" s="59"/>
      <x:c r="CD64" s="59"/>
      <x:c r="CE64" s="59"/>
      <x:c r="CF64" s="59"/>
      <x:c r="CG64" s="59"/>
      <x:c r="CH64" s="59"/>
      <x:c r="CI64" s="59"/>
      <x:c r="CJ64" s="59"/>
      <x:c r="CK64" s="59"/>
      <x:c r="CL64" s="59"/>
      <x:c r="CM64" s="59"/>
      <x:c r="CN64" s="59"/>
      <x:c r="CO64" s="59"/>
      <x:c r="CP64" s="59"/>
      <x:c r="CQ64" s="59"/>
      <x:c r="CR64" s="59"/>
      <x:c r="CS64" s="59"/>
      <x:c r="CT64" s="59"/>
      <x:c r="CU64" s="59"/>
      <x:c r="CV64" s="59"/>
      <x:c r="CW64" s="59"/>
      <x:c r="CX64" s="59"/>
      <x:c r="CY64" s="59"/>
      <x:c r="CZ64" s="59"/>
      <x:c r="DA64" s="59"/>
      <x:c r="DB64" s="59"/>
      <x:c r="DC64" s="59"/>
      <x:c r="DD64" s="59"/>
      <x:c r="DE64" s="59"/>
      <x:c r="DF64" s="59"/>
      <x:c r="DG64" s="59"/>
      <x:c r="DH64" s="59"/>
      <x:c r="DI64" s="59"/>
      <x:c r="DJ64" s="59"/>
      <x:c r="DK64" s="59"/>
      <x:c r="DL64" s="59"/>
      <x:c r="DM64" s="59"/>
      <x:c r="DN64" s="59"/>
      <x:c r="DO64" s="59"/>
      <x:c r="DP64" s="59"/>
      <x:c r="DQ64" s="59"/>
      <x:c r="DR64" s="59"/>
      <x:c r="DS64" s="59"/>
      <x:c r="DT64" s="59"/>
      <x:c r="DU64" s="59"/>
      <x:c r="DV64" s="59"/>
      <x:c r="DW64" s="59"/>
      <x:c r="DX64" s="59"/>
      <x:c r="DY64" s="59"/>
      <x:c r="DZ64" s="59"/>
      <x:c r="EA64" s="59"/>
      <x:c r="EB64" s="59"/>
      <x:c r="EC64" s="59"/>
      <x:c r="ED64" s="59"/>
      <x:c r="EE64" s="59"/>
      <x:c r="EF64" s="59"/>
      <x:c r="EG64" s="59"/>
      <x:c r="EH64" s="59"/>
      <x:c r="EI64" s="59"/>
      <x:c r="EJ64" s="59"/>
      <x:c r="EK64" s="59"/>
      <x:c r="EL64" s="59"/>
      <x:c r="EM64" s="59"/>
      <x:c r="EN64" s="59"/>
      <x:c r="EO64" s="59"/>
      <x:c r="EP64" s="59"/>
      <x:c r="EQ64" s="59"/>
      <x:c r="ER64" s="59"/>
      <x:c r="ES64" s="59"/>
      <x:c r="ET64" s="59"/>
      <x:c r="EU64" s="59"/>
      <x:c r="EV64" s="59"/>
      <x:c r="EW64" s="59"/>
      <x:c r="EX64" s="59"/>
      <x:c r="EY64" s="59"/>
      <x:c r="EZ64" s="59"/>
      <x:c r="FA64" s="59"/>
      <x:c r="FB64" s="59"/>
      <x:c r="FC64" s="59"/>
      <x:c r="FD64" s="59"/>
      <x:c r="FE64" s="59"/>
      <x:c r="FF64" s="59"/>
      <x:c r="FG64" s="59"/>
      <x:c r="FH64" s="59"/>
      <x:c r="FI64" s="59"/>
      <x:c r="FJ64" s="59"/>
      <x:c r="FK64" s="59"/>
      <x:c r="FL64" s="59"/>
      <x:c r="FM64" s="59"/>
      <x:c r="FN64" s="59"/>
      <x:c r="FO64" s="59"/>
      <x:c r="FP64" s="59"/>
      <x:c r="FQ64" s="59"/>
      <x:c r="FR64" s="59"/>
      <x:c r="FS64" s="59"/>
      <x:c r="FT64" s="59"/>
      <x:c r="FU64" s="59"/>
      <x:c r="FV64" s="59"/>
      <x:c r="FW64" s="59"/>
      <x:c r="FX64" s="59"/>
      <x:c r="FY64" s="59"/>
      <x:c r="FZ64" s="59"/>
      <x:c r="GA64" s="59"/>
      <x:c r="GB64" s="59"/>
      <x:c r="GC64" s="59"/>
      <x:c r="GD64" s="59"/>
      <x:c r="GE64" s="59"/>
      <x:c r="GF64" s="59"/>
      <x:c r="GG64" s="59"/>
      <x:c r="GH64" s="59"/>
      <x:c r="GI64" s="59"/>
      <x:c r="GJ64" s="59"/>
      <x:c r="GK64" s="59"/>
      <x:c r="GL64" s="59"/>
      <x:c r="GM64" s="59"/>
      <x:c r="GN64" s="59"/>
      <x:c r="GO64" s="59"/>
      <x:c r="GP64" s="59"/>
      <x:c r="GQ64" s="59"/>
      <x:c r="GR64" s="59"/>
      <x:c r="GS64" s="59"/>
      <x:c r="GT64" s="59"/>
      <x:c r="GU64" s="59"/>
      <x:c r="GV64" s="59"/>
      <x:c r="GW64" s="59"/>
      <x:c r="GX64" s="59"/>
      <x:c r="GY64" s="59"/>
      <x:c r="GZ64" s="59"/>
      <x:c r="HA64" s="59"/>
      <x:c r="HB64" s="59"/>
      <x:c r="HC64" s="59"/>
      <x:c r="HD64" s="59"/>
      <x:c r="HE64" s="59"/>
      <x:c r="HF64" s="59"/>
      <x:c r="HG64" s="59"/>
      <x:c r="HH64" s="59"/>
      <x:c r="HI64" s="59"/>
      <x:c r="HJ64" s="59"/>
      <x:c r="HK64" s="59"/>
      <x:c r="HL64" s="59"/>
      <x:c r="HM64" s="59"/>
      <x:c r="HN64" s="59"/>
      <x:c r="HO64" s="59"/>
      <x:c r="HP64" s="59"/>
      <x:c r="HQ64" s="59"/>
      <x:c r="HR64" s="59"/>
      <x:c r="HS64" s="59"/>
      <x:c r="HT64" s="59"/>
      <x:c r="HU64" s="59"/>
      <x:c r="HV64" s="59"/>
      <x:c r="HW64" s="59"/>
      <x:c r="HX64" s="59"/>
      <x:c r="HY64" s="59"/>
      <x:c r="HZ64" s="59"/>
      <x:c r="IA64" s="59"/>
      <x:c r="IB64" s="59"/>
      <x:c r="IC64" s="59"/>
      <x:c r="ID64" s="59"/>
      <x:c r="IE64" s="59"/>
      <x:c r="IF64" s="59"/>
      <x:c r="IG64" s="59"/>
      <x:c r="IH64" s="59"/>
      <x:c r="II64" s="59"/>
      <x:c r="IJ64" s="59"/>
      <x:c r="IK64" s="59"/>
      <x:c r="IL64" s="59"/>
      <x:c r="IM64" s="59"/>
      <x:c r="IN64" s="59"/>
      <x:c r="IO64" s="59"/>
      <x:c r="IP64" s="59"/>
      <x:c r="IQ64" s="59"/>
      <x:c r="IR64" s="59"/>
      <x:c r="IS64" s="59"/>
      <x:c r="IT64" s="59"/>
      <x:c r="IU64" s="59"/>
      <x:c r="IV64" s="59"/>
      <x:c r="IW64" s="59"/>
      <x:c r="IX64" s="59"/>
      <x:c r="IY64" s="59"/>
      <x:c r="IZ64" s="59"/>
      <x:c r="JA64" s="59"/>
      <x:c r="JB64" s="59"/>
      <x:c r="JC64" s="59"/>
      <x:c r="JD64" s="59"/>
      <x:c r="JE64" s="59"/>
      <x:c r="JF64" s="59"/>
      <x:c r="JG64" s="59"/>
      <x:c r="JH64" s="59"/>
      <x:c r="JI64" s="59"/>
      <x:c r="JJ64" s="59"/>
      <x:c r="JK64" s="59"/>
      <x:c r="JL64" s="59"/>
      <x:c r="JM64" s="59"/>
      <x:c r="JN64" s="59"/>
      <x:c r="JO64" s="59"/>
      <x:c r="JP64" s="59"/>
      <x:c r="JQ64" s="59"/>
      <x:c r="JR64" s="59"/>
      <x:c r="JS64" s="59"/>
      <x:c r="JT64" s="59"/>
      <x:c r="JU64" s="59"/>
      <x:c r="JV64" s="59"/>
      <x:c r="JW64" s="59"/>
      <x:c r="JX64" s="59"/>
      <x:c r="JY64" s="59"/>
      <x:c r="JZ64" s="59"/>
      <x:c r="KA64" s="59"/>
      <x:c r="KB64" s="59"/>
      <x:c r="KC64" s="59"/>
      <x:c r="KD64" s="59"/>
      <x:c r="KE64" s="59"/>
      <x:c r="KF64" s="59"/>
      <x:c r="KG64" s="59"/>
      <x:c r="KH64" s="59"/>
      <x:c r="KI64" s="59"/>
      <x:c r="KJ64" s="59"/>
      <x:c r="KK64" s="59"/>
      <x:c r="KL64" s="59"/>
      <x:c r="KM64" s="59"/>
      <x:c r="KN64" s="59"/>
      <x:c r="KO64" s="59"/>
      <x:c r="KP64" s="59"/>
      <x:c r="KQ64" s="59"/>
      <x:c r="KR64" s="59"/>
      <x:c r="KS64" s="59"/>
      <x:c r="KT64" s="59"/>
      <x:c r="KU64" s="59"/>
      <x:c r="KV64" s="59"/>
      <x:c r="KW64" s="59"/>
      <x:c r="KX64" s="59"/>
      <x:c r="KY64" s="59"/>
      <x:c r="KZ64" s="59"/>
      <x:c r="LA64" s="59"/>
      <x:c r="LB64" s="59"/>
      <x:c r="LC64" s="59"/>
      <x:c r="LD64" s="59"/>
      <x:c r="LE64" s="59"/>
      <x:c r="LF64" s="59"/>
      <x:c r="LG64" s="59"/>
      <x:c r="LH64" s="59"/>
      <x:c r="LI64" s="59"/>
      <x:c r="LJ64" s="59"/>
      <x:c r="LK64" s="59"/>
      <x:c r="LL64" s="59"/>
      <x:c r="LM64" s="59"/>
      <x:c r="LN64" s="59"/>
      <x:c r="LO64" s="59"/>
      <x:c r="LP64" s="59"/>
      <x:c r="LQ64" s="59"/>
      <x:c r="LR64" s="59"/>
      <x:c r="LS64" s="59"/>
      <x:c r="LT64" s="59"/>
      <x:c r="LU64" s="59"/>
      <x:c r="LV64" s="59"/>
      <x:c r="LW64" s="59"/>
      <x:c r="LX64" s="59"/>
      <x:c r="LY64" s="59"/>
      <x:c r="LZ64" s="59"/>
      <x:c r="MA64" s="59"/>
      <x:c r="MB64" s="59"/>
      <x:c r="MC64" s="59"/>
      <x:c r="MD64" s="59"/>
      <x:c r="ME64" s="59"/>
      <x:c r="MF64" s="59"/>
      <x:c r="MG64" s="59"/>
      <x:c r="MH64" s="59"/>
      <x:c r="MI64" s="59"/>
      <x:c r="MJ64" s="59"/>
      <x:c r="MK64" s="59"/>
      <x:c r="ML64" s="59"/>
      <x:c r="MM64" s="59"/>
      <x:c r="MN64" s="59"/>
      <x:c r="MO64" s="59"/>
      <x:c r="MP64" s="59"/>
      <x:c r="MQ64" s="59"/>
      <x:c r="MR64" s="59"/>
      <x:c r="MS64" s="59"/>
      <x:c r="MT64" s="59"/>
      <x:c r="MU64" s="59"/>
      <x:c r="MV64" s="59"/>
      <x:c r="MW64" s="59"/>
      <x:c r="MX64" s="59"/>
      <x:c r="MY64" s="59"/>
      <x:c r="MZ64" s="59"/>
      <x:c r="NA64" s="59"/>
      <x:c r="NB64" s="59"/>
      <x:c r="NC64" s="59"/>
      <x:c r="ND64" s="59"/>
      <x:c r="NE64" s="59"/>
      <x:c r="NF64" s="59"/>
      <x:c r="NG64" s="59"/>
      <x:c r="NH64" s="59"/>
      <x:c r="NI64" s="59"/>
      <x:c r="NJ64" s="59"/>
      <x:c r="NK64" s="59"/>
      <x:c r="NL64" s="59"/>
      <x:c r="NM64" s="59"/>
      <x:c r="NN64" s="59"/>
      <x:c r="NO64" s="59"/>
      <x:c r="NP64" s="59"/>
      <x:c r="NQ64" s="59"/>
      <x:c r="NR64" s="59"/>
      <x:c r="NS64" s="59"/>
      <x:c r="NT64" s="59"/>
      <x:c r="NU64" s="59"/>
      <x:c r="NV64" s="59"/>
      <x:c r="NW64" s="59"/>
      <x:c r="NX64" s="59"/>
      <x:c r="NY64" s="59"/>
      <x:c r="NZ64" s="59"/>
      <x:c r="OA64" s="59"/>
      <x:c r="OB64" s="59"/>
      <x:c r="OC64" s="59"/>
      <x:c r="OD64" s="59"/>
      <x:c r="OE64" s="59"/>
      <x:c r="OF64" s="59"/>
      <x:c r="OG64" s="59"/>
      <x:c r="OH64" s="59"/>
      <x:c r="OI64" s="59"/>
      <x:c r="OJ64" s="59"/>
      <x:c r="OK64" s="59"/>
      <x:c r="OL64" s="59"/>
      <x:c r="OM64" s="59"/>
      <x:c r="ON64" s="59"/>
      <x:c r="OO64" s="59"/>
      <x:c r="OP64" s="59"/>
      <x:c r="OQ64" s="59"/>
      <x:c r="OR64" s="59"/>
      <x:c r="OS64" s="59"/>
      <x:c r="OT64" s="59"/>
      <x:c r="OU64" s="59"/>
      <x:c r="OV64" s="59"/>
      <x:c r="OW64" s="59"/>
      <x:c r="OX64" s="59"/>
      <x:c r="OY64" s="59"/>
      <x:c r="OZ64" s="59"/>
      <x:c r="PA64" s="59"/>
      <x:c r="PB64" s="59"/>
      <x:c r="PC64" s="59"/>
      <x:c r="PD64" s="59"/>
      <x:c r="PE64" s="59"/>
      <x:c r="PF64" s="59"/>
      <x:c r="PG64" s="59"/>
      <x:c r="PH64" s="59"/>
      <x:c r="PI64" s="59"/>
      <x:c r="PJ64" s="59"/>
      <x:c r="PK64" s="59"/>
      <x:c r="PL64" s="59"/>
      <x:c r="PM64" s="59"/>
      <x:c r="PN64" s="59"/>
      <x:c r="PO64" s="59"/>
      <x:c r="PP64" s="59"/>
      <x:c r="PQ64" s="59"/>
      <x:c r="PR64" s="59"/>
      <x:c r="PS64" s="59"/>
      <x:c r="PT64" s="59"/>
      <x:c r="PU64" s="59"/>
      <x:c r="PV64" s="59"/>
      <x:c r="PW64" s="59"/>
      <x:c r="PX64" s="59"/>
      <x:c r="PY64" s="59"/>
      <x:c r="PZ64" s="59"/>
      <x:c r="QA64" s="59"/>
      <x:c r="QB64" s="59"/>
      <x:c r="QC64" s="59"/>
      <x:c r="QD64" s="59"/>
      <x:c r="QE64" s="59"/>
      <x:c r="QF64" s="59"/>
      <x:c r="QG64" s="59"/>
      <x:c r="QH64" s="59"/>
      <x:c r="QI64" s="59"/>
      <x:c r="QJ64" s="59"/>
      <x:c r="QK64" s="59"/>
      <x:c r="QL64" s="59"/>
      <x:c r="QM64" s="59"/>
      <x:c r="QN64" s="59"/>
      <x:c r="QO64" s="59"/>
      <x:c r="QP64" s="59"/>
      <x:c r="QQ64" s="59"/>
      <x:c r="QR64" s="59"/>
      <x:c r="QS64" s="59"/>
      <x:c r="QT64" s="59"/>
      <x:c r="QU64" s="59"/>
      <x:c r="QV64" s="59"/>
      <x:c r="QW64" s="59"/>
      <x:c r="QX64" s="59"/>
      <x:c r="QY64" s="59"/>
      <x:c r="QZ64" s="59"/>
      <x:c r="RA64" s="59"/>
      <x:c r="RB64" s="59"/>
      <x:c r="RC64" s="59"/>
      <x:c r="RD64" s="59"/>
      <x:c r="RE64" s="59"/>
      <x:c r="RF64" s="59"/>
      <x:c r="RG64" s="59"/>
      <x:c r="RH64" s="59"/>
      <x:c r="RI64" s="59"/>
      <x:c r="RJ64" s="59"/>
      <x:c r="RK64" s="59"/>
      <x:c r="RL64" s="59"/>
      <x:c r="RM64" s="59"/>
      <x:c r="RN64" s="59"/>
      <x:c r="RO64" s="59"/>
      <x:c r="RP64" s="59"/>
      <x:c r="RQ64" s="59"/>
      <x:c r="RR64" s="59"/>
      <x:c r="RS64" s="59"/>
      <x:c r="RT64" s="59"/>
      <x:c r="RU64" s="59"/>
      <x:c r="RV64" s="59"/>
      <x:c r="RW64" s="59"/>
      <x:c r="RX64" s="59"/>
      <x:c r="RY64" s="59"/>
      <x:c r="RZ64" s="59"/>
      <x:c r="SA64" s="59"/>
      <x:c r="SB64" s="59"/>
      <x:c r="SC64" s="59"/>
      <x:c r="SD64" s="59"/>
      <x:c r="SE64" s="59"/>
      <x:c r="SF64" s="59"/>
    </x:row>
    <x:row r="65" ht="27">
      <x:c r="A65" s="61" t="str">
        <x:v>M — Weighted Performance Score</x:v>
      </x:c>
      <x:c r="B65" s="68" t="s">
        <x:v>119</x:v>
      </x:c>
      <x:c r="C65" s="68"/>
      <x:c r="D65" s="63" t="s">
        <x:v>120</x:v>
      </x:c>
      <x:c r="E65" s="63"/>
      <x:c r="F65" s="63"/>
      <x:c r="G65" s="63" t="str">
        <x:v>Calculated automatically using fictional portfolio weights: 45% Core Product + 35% Quality + 20% Secondary Product.</x:v>
      </x:c>
      <x:c r="H65" s="63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  <x:c r="AA65" s="59"/>
      <x:c r="AB65" s="59"/>
      <x:c r="AC65" s="59"/>
      <x:c r="AD65" s="59"/>
      <x:c r="AE65" s="59"/>
      <x:c r="AF65" s="59"/>
      <x:c r="AG65" s="59"/>
      <x:c r="AH65" s="59"/>
      <x:c r="AI65" s="59"/>
      <x:c r="AJ65" s="59"/>
      <x:c r="AK65" s="59"/>
      <x:c r="AL65" s="59"/>
      <x:c r="AM65" s="59"/>
      <x:c r="AN65" s="59"/>
      <x:c r="AO65" s="59"/>
      <x:c r="AP65" s="59"/>
      <x:c r="AQ65" s="59"/>
      <x:c r="AR65" s="59"/>
      <x:c r="AS65" s="59"/>
      <x:c r="AT65" s="59"/>
      <x:c r="AU65" s="59"/>
      <x:c r="AV65" s="59"/>
      <x:c r="AW65" s="59"/>
      <x:c r="AX65" s="59"/>
      <x:c r="AY65" s="59"/>
      <x:c r="AZ65" s="59"/>
      <x:c r="BA65" s="59"/>
      <x:c r="BB65" s="59"/>
      <x:c r="BC65" s="59"/>
      <x:c r="BD65" s="59"/>
      <x:c r="BE65" s="59"/>
      <x:c r="BF65" s="59"/>
      <x:c r="BG65" s="59"/>
      <x:c r="BH65" s="59"/>
      <x:c r="BI65" s="59"/>
      <x:c r="BJ65" s="59"/>
      <x:c r="BK65" s="59"/>
      <x:c r="BL65" s="59"/>
      <x:c r="BM65" s="59"/>
      <x:c r="BN65" s="59"/>
      <x:c r="BO65" s="59"/>
      <x:c r="BP65" s="59"/>
      <x:c r="BQ65" s="59"/>
      <x:c r="BR65" s="59"/>
      <x:c r="BS65" s="59"/>
      <x:c r="BT65" s="59"/>
      <x:c r="BU65" s="59"/>
      <x:c r="BV65" s="59"/>
      <x:c r="BW65" s="59"/>
      <x:c r="BX65" s="59"/>
      <x:c r="BY65" s="59"/>
      <x:c r="BZ65" s="59"/>
      <x:c r="CA65" s="59"/>
      <x:c r="CB65" s="59"/>
      <x:c r="CC65" s="59"/>
      <x:c r="CD65" s="59"/>
      <x:c r="CE65" s="59"/>
      <x:c r="CF65" s="59"/>
      <x:c r="CG65" s="59"/>
      <x:c r="CH65" s="59"/>
      <x:c r="CI65" s="59"/>
      <x:c r="CJ65" s="59"/>
      <x:c r="CK65" s="59"/>
      <x:c r="CL65" s="59"/>
      <x:c r="CM65" s="59"/>
      <x:c r="CN65" s="59"/>
      <x:c r="CO65" s="59"/>
      <x:c r="CP65" s="59"/>
      <x:c r="CQ65" s="59"/>
      <x:c r="CR65" s="59"/>
      <x:c r="CS65" s="59"/>
      <x:c r="CT65" s="59"/>
      <x:c r="CU65" s="59"/>
      <x:c r="CV65" s="59"/>
      <x:c r="CW65" s="59"/>
      <x:c r="CX65" s="59"/>
      <x:c r="CY65" s="59"/>
      <x:c r="CZ65" s="59"/>
      <x:c r="DA65" s="59"/>
      <x:c r="DB65" s="59"/>
      <x:c r="DC65" s="59"/>
      <x:c r="DD65" s="59"/>
      <x:c r="DE65" s="59"/>
      <x:c r="DF65" s="59"/>
      <x:c r="DG65" s="59"/>
      <x:c r="DH65" s="59"/>
      <x:c r="DI65" s="59"/>
      <x:c r="DJ65" s="59"/>
      <x:c r="DK65" s="59"/>
      <x:c r="DL65" s="59"/>
      <x:c r="DM65" s="59"/>
      <x:c r="DN65" s="59"/>
      <x:c r="DO65" s="59"/>
      <x:c r="DP65" s="59"/>
      <x:c r="DQ65" s="59"/>
      <x:c r="DR65" s="59"/>
      <x:c r="DS65" s="59"/>
      <x:c r="DT65" s="59"/>
      <x:c r="DU65" s="59"/>
      <x:c r="DV65" s="59"/>
      <x:c r="DW65" s="59"/>
      <x:c r="DX65" s="59"/>
      <x:c r="DY65" s="59"/>
      <x:c r="DZ65" s="59"/>
      <x:c r="EA65" s="59"/>
      <x:c r="EB65" s="59"/>
      <x:c r="EC65" s="59"/>
      <x:c r="ED65" s="59"/>
      <x:c r="EE65" s="59"/>
      <x:c r="EF65" s="59"/>
      <x:c r="EG65" s="59"/>
      <x:c r="EH65" s="59"/>
      <x:c r="EI65" s="59"/>
      <x:c r="EJ65" s="59"/>
      <x:c r="EK65" s="59"/>
      <x:c r="EL65" s="59"/>
      <x:c r="EM65" s="59"/>
      <x:c r="EN65" s="59"/>
      <x:c r="EO65" s="59"/>
      <x:c r="EP65" s="59"/>
      <x:c r="EQ65" s="59"/>
      <x:c r="ER65" s="59"/>
      <x:c r="ES65" s="59"/>
      <x:c r="ET65" s="59"/>
      <x:c r="EU65" s="59"/>
      <x:c r="EV65" s="59"/>
      <x:c r="EW65" s="59"/>
      <x:c r="EX65" s="59"/>
      <x:c r="EY65" s="59"/>
      <x:c r="EZ65" s="59"/>
      <x:c r="FA65" s="59"/>
      <x:c r="FB65" s="59"/>
      <x:c r="FC65" s="59"/>
      <x:c r="FD65" s="59"/>
      <x:c r="FE65" s="59"/>
      <x:c r="FF65" s="59"/>
      <x:c r="FG65" s="59"/>
      <x:c r="FH65" s="59"/>
      <x:c r="FI65" s="59"/>
      <x:c r="FJ65" s="59"/>
      <x:c r="FK65" s="59"/>
      <x:c r="FL65" s="59"/>
      <x:c r="FM65" s="59"/>
      <x:c r="FN65" s="59"/>
      <x:c r="FO65" s="59"/>
      <x:c r="FP65" s="59"/>
      <x:c r="FQ65" s="59"/>
      <x:c r="FR65" s="59"/>
      <x:c r="FS65" s="59"/>
      <x:c r="FT65" s="59"/>
      <x:c r="FU65" s="59"/>
      <x:c r="FV65" s="59"/>
      <x:c r="FW65" s="59"/>
      <x:c r="FX65" s="59"/>
      <x:c r="FY65" s="59"/>
      <x:c r="FZ65" s="59"/>
      <x:c r="GA65" s="59"/>
      <x:c r="GB65" s="59"/>
      <x:c r="GC65" s="59"/>
      <x:c r="GD65" s="59"/>
      <x:c r="GE65" s="59"/>
      <x:c r="GF65" s="59"/>
      <x:c r="GG65" s="59"/>
      <x:c r="GH65" s="59"/>
      <x:c r="GI65" s="59"/>
      <x:c r="GJ65" s="59"/>
      <x:c r="GK65" s="59"/>
      <x:c r="GL65" s="59"/>
      <x:c r="GM65" s="59"/>
      <x:c r="GN65" s="59"/>
      <x:c r="GO65" s="59"/>
      <x:c r="GP65" s="59"/>
      <x:c r="GQ65" s="59"/>
      <x:c r="GR65" s="59"/>
      <x:c r="GS65" s="59"/>
      <x:c r="GT65" s="59"/>
      <x:c r="GU65" s="59"/>
      <x:c r="GV65" s="59"/>
      <x:c r="GW65" s="59"/>
      <x:c r="GX65" s="59"/>
      <x:c r="GY65" s="59"/>
      <x:c r="GZ65" s="59"/>
      <x:c r="HA65" s="59"/>
      <x:c r="HB65" s="59"/>
      <x:c r="HC65" s="59"/>
      <x:c r="HD65" s="59"/>
      <x:c r="HE65" s="59"/>
      <x:c r="HF65" s="59"/>
      <x:c r="HG65" s="59"/>
      <x:c r="HH65" s="59"/>
      <x:c r="HI65" s="59"/>
      <x:c r="HJ65" s="59"/>
      <x:c r="HK65" s="59"/>
      <x:c r="HL65" s="59"/>
      <x:c r="HM65" s="59"/>
      <x:c r="HN65" s="59"/>
      <x:c r="HO65" s="59"/>
      <x:c r="HP65" s="59"/>
      <x:c r="HQ65" s="59"/>
      <x:c r="HR65" s="59"/>
      <x:c r="HS65" s="59"/>
      <x:c r="HT65" s="59"/>
      <x:c r="HU65" s="59"/>
      <x:c r="HV65" s="59"/>
      <x:c r="HW65" s="59"/>
      <x:c r="HX65" s="59"/>
      <x:c r="HY65" s="59"/>
      <x:c r="HZ65" s="59"/>
      <x:c r="IA65" s="59"/>
      <x:c r="IB65" s="59"/>
      <x:c r="IC65" s="59"/>
      <x:c r="ID65" s="59"/>
      <x:c r="IE65" s="59"/>
      <x:c r="IF65" s="59"/>
      <x:c r="IG65" s="59"/>
      <x:c r="IH65" s="59"/>
      <x:c r="II65" s="59"/>
      <x:c r="IJ65" s="59"/>
      <x:c r="IK65" s="59"/>
      <x:c r="IL65" s="59"/>
      <x:c r="IM65" s="59"/>
      <x:c r="IN65" s="59"/>
      <x:c r="IO65" s="59"/>
      <x:c r="IP65" s="59"/>
      <x:c r="IQ65" s="59"/>
      <x:c r="IR65" s="59"/>
      <x:c r="IS65" s="59"/>
      <x:c r="IT65" s="59"/>
      <x:c r="IU65" s="59"/>
      <x:c r="IV65" s="59"/>
      <x:c r="IW65" s="59"/>
      <x:c r="IX65" s="59"/>
      <x:c r="IY65" s="59"/>
      <x:c r="IZ65" s="59"/>
      <x:c r="JA65" s="59"/>
      <x:c r="JB65" s="59"/>
      <x:c r="JC65" s="59"/>
      <x:c r="JD65" s="59"/>
      <x:c r="JE65" s="59"/>
      <x:c r="JF65" s="59"/>
      <x:c r="JG65" s="59"/>
      <x:c r="JH65" s="59"/>
      <x:c r="JI65" s="59"/>
      <x:c r="JJ65" s="59"/>
      <x:c r="JK65" s="59"/>
      <x:c r="JL65" s="59"/>
      <x:c r="JM65" s="59"/>
      <x:c r="JN65" s="59"/>
      <x:c r="JO65" s="59"/>
      <x:c r="JP65" s="59"/>
      <x:c r="JQ65" s="59"/>
      <x:c r="JR65" s="59"/>
      <x:c r="JS65" s="59"/>
      <x:c r="JT65" s="59"/>
      <x:c r="JU65" s="59"/>
      <x:c r="JV65" s="59"/>
      <x:c r="JW65" s="59"/>
      <x:c r="JX65" s="59"/>
      <x:c r="JY65" s="59"/>
      <x:c r="JZ65" s="59"/>
      <x:c r="KA65" s="59"/>
      <x:c r="KB65" s="59"/>
      <x:c r="KC65" s="59"/>
      <x:c r="KD65" s="59"/>
      <x:c r="KE65" s="59"/>
      <x:c r="KF65" s="59"/>
      <x:c r="KG65" s="59"/>
      <x:c r="KH65" s="59"/>
      <x:c r="KI65" s="59"/>
      <x:c r="KJ65" s="59"/>
      <x:c r="KK65" s="59"/>
      <x:c r="KL65" s="59"/>
      <x:c r="KM65" s="59"/>
      <x:c r="KN65" s="59"/>
      <x:c r="KO65" s="59"/>
      <x:c r="KP65" s="59"/>
      <x:c r="KQ65" s="59"/>
      <x:c r="KR65" s="59"/>
      <x:c r="KS65" s="59"/>
      <x:c r="KT65" s="59"/>
      <x:c r="KU65" s="59"/>
      <x:c r="KV65" s="59"/>
      <x:c r="KW65" s="59"/>
      <x:c r="KX65" s="59"/>
      <x:c r="KY65" s="59"/>
      <x:c r="KZ65" s="59"/>
      <x:c r="LA65" s="59"/>
      <x:c r="LB65" s="59"/>
      <x:c r="LC65" s="59"/>
      <x:c r="LD65" s="59"/>
      <x:c r="LE65" s="59"/>
      <x:c r="LF65" s="59"/>
      <x:c r="LG65" s="59"/>
      <x:c r="LH65" s="59"/>
      <x:c r="LI65" s="59"/>
      <x:c r="LJ65" s="59"/>
      <x:c r="LK65" s="59"/>
      <x:c r="LL65" s="59"/>
      <x:c r="LM65" s="59"/>
      <x:c r="LN65" s="59"/>
      <x:c r="LO65" s="59"/>
      <x:c r="LP65" s="59"/>
      <x:c r="LQ65" s="59"/>
      <x:c r="LR65" s="59"/>
      <x:c r="LS65" s="59"/>
      <x:c r="LT65" s="59"/>
      <x:c r="LU65" s="59"/>
      <x:c r="LV65" s="59"/>
      <x:c r="LW65" s="59"/>
      <x:c r="LX65" s="59"/>
      <x:c r="LY65" s="59"/>
      <x:c r="LZ65" s="59"/>
      <x:c r="MA65" s="59"/>
      <x:c r="MB65" s="59"/>
      <x:c r="MC65" s="59"/>
      <x:c r="MD65" s="59"/>
      <x:c r="ME65" s="59"/>
      <x:c r="MF65" s="59"/>
      <x:c r="MG65" s="59"/>
      <x:c r="MH65" s="59"/>
      <x:c r="MI65" s="59"/>
      <x:c r="MJ65" s="59"/>
      <x:c r="MK65" s="59"/>
      <x:c r="ML65" s="59"/>
      <x:c r="MM65" s="59"/>
      <x:c r="MN65" s="59"/>
      <x:c r="MO65" s="59"/>
      <x:c r="MP65" s="59"/>
      <x:c r="MQ65" s="59"/>
      <x:c r="MR65" s="59"/>
      <x:c r="MS65" s="59"/>
      <x:c r="MT65" s="59"/>
      <x:c r="MU65" s="59"/>
      <x:c r="MV65" s="59"/>
      <x:c r="MW65" s="59"/>
      <x:c r="MX65" s="59"/>
      <x:c r="MY65" s="59"/>
      <x:c r="MZ65" s="59"/>
      <x:c r="NA65" s="59"/>
      <x:c r="NB65" s="59"/>
      <x:c r="NC65" s="59"/>
      <x:c r="ND65" s="59"/>
      <x:c r="NE65" s="59"/>
      <x:c r="NF65" s="59"/>
      <x:c r="NG65" s="59"/>
      <x:c r="NH65" s="59"/>
      <x:c r="NI65" s="59"/>
      <x:c r="NJ65" s="59"/>
      <x:c r="NK65" s="59"/>
      <x:c r="NL65" s="59"/>
      <x:c r="NM65" s="59"/>
      <x:c r="NN65" s="59"/>
      <x:c r="NO65" s="59"/>
      <x:c r="NP65" s="59"/>
      <x:c r="NQ65" s="59"/>
      <x:c r="NR65" s="59"/>
      <x:c r="NS65" s="59"/>
      <x:c r="NT65" s="59"/>
      <x:c r="NU65" s="59"/>
      <x:c r="NV65" s="59"/>
      <x:c r="NW65" s="59"/>
      <x:c r="NX65" s="59"/>
      <x:c r="NY65" s="59"/>
      <x:c r="NZ65" s="59"/>
      <x:c r="OA65" s="59"/>
      <x:c r="OB65" s="59"/>
      <x:c r="OC65" s="59"/>
      <x:c r="OD65" s="59"/>
      <x:c r="OE65" s="59"/>
      <x:c r="OF65" s="59"/>
      <x:c r="OG65" s="59"/>
      <x:c r="OH65" s="59"/>
      <x:c r="OI65" s="59"/>
      <x:c r="OJ65" s="59"/>
      <x:c r="OK65" s="59"/>
      <x:c r="OL65" s="59"/>
      <x:c r="OM65" s="59"/>
      <x:c r="ON65" s="59"/>
      <x:c r="OO65" s="59"/>
      <x:c r="OP65" s="59"/>
      <x:c r="OQ65" s="59"/>
      <x:c r="OR65" s="59"/>
      <x:c r="OS65" s="59"/>
      <x:c r="OT65" s="59"/>
      <x:c r="OU65" s="59"/>
      <x:c r="OV65" s="59"/>
      <x:c r="OW65" s="59"/>
      <x:c r="OX65" s="59"/>
      <x:c r="OY65" s="59"/>
      <x:c r="OZ65" s="59"/>
      <x:c r="PA65" s="59"/>
      <x:c r="PB65" s="59"/>
      <x:c r="PC65" s="59"/>
      <x:c r="PD65" s="59"/>
      <x:c r="PE65" s="59"/>
      <x:c r="PF65" s="59"/>
      <x:c r="PG65" s="59"/>
      <x:c r="PH65" s="59"/>
      <x:c r="PI65" s="59"/>
      <x:c r="PJ65" s="59"/>
      <x:c r="PK65" s="59"/>
      <x:c r="PL65" s="59"/>
      <x:c r="PM65" s="59"/>
      <x:c r="PN65" s="59"/>
      <x:c r="PO65" s="59"/>
      <x:c r="PP65" s="59"/>
      <x:c r="PQ65" s="59"/>
      <x:c r="PR65" s="59"/>
      <x:c r="PS65" s="59"/>
      <x:c r="PT65" s="59"/>
      <x:c r="PU65" s="59"/>
      <x:c r="PV65" s="59"/>
      <x:c r="PW65" s="59"/>
      <x:c r="PX65" s="59"/>
      <x:c r="PY65" s="59"/>
      <x:c r="PZ65" s="59"/>
      <x:c r="QA65" s="59"/>
      <x:c r="QB65" s="59"/>
      <x:c r="QC65" s="59"/>
      <x:c r="QD65" s="59"/>
      <x:c r="QE65" s="59"/>
      <x:c r="QF65" s="59"/>
      <x:c r="QG65" s="59"/>
      <x:c r="QH65" s="59"/>
      <x:c r="QI65" s="59"/>
      <x:c r="QJ65" s="59"/>
      <x:c r="QK65" s="59"/>
      <x:c r="QL65" s="59"/>
      <x:c r="QM65" s="59"/>
      <x:c r="QN65" s="59"/>
      <x:c r="QO65" s="59"/>
      <x:c r="QP65" s="59"/>
      <x:c r="QQ65" s="59"/>
      <x:c r="QR65" s="59"/>
      <x:c r="QS65" s="59"/>
      <x:c r="QT65" s="59"/>
      <x:c r="QU65" s="59"/>
      <x:c r="QV65" s="59"/>
      <x:c r="QW65" s="59"/>
      <x:c r="QX65" s="59"/>
      <x:c r="QY65" s="59"/>
      <x:c r="QZ65" s="59"/>
      <x:c r="RA65" s="59"/>
      <x:c r="RB65" s="59"/>
      <x:c r="RC65" s="59"/>
      <x:c r="RD65" s="59"/>
      <x:c r="RE65" s="59"/>
      <x:c r="RF65" s="59"/>
      <x:c r="RG65" s="59"/>
      <x:c r="RH65" s="59"/>
      <x:c r="RI65" s="59"/>
      <x:c r="RJ65" s="59"/>
      <x:c r="RK65" s="59"/>
      <x:c r="RL65" s="59"/>
      <x:c r="RM65" s="59"/>
      <x:c r="RN65" s="59"/>
      <x:c r="RO65" s="59"/>
      <x:c r="RP65" s="59"/>
      <x:c r="RQ65" s="59"/>
      <x:c r="RR65" s="59"/>
      <x:c r="RS65" s="59"/>
      <x:c r="RT65" s="59"/>
      <x:c r="RU65" s="59"/>
      <x:c r="RV65" s="59"/>
      <x:c r="RW65" s="59"/>
      <x:c r="RX65" s="59"/>
      <x:c r="RY65" s="59"/>
      <x:c r="RZ65" s="59"/>
      <x:c r="SA65" s="59"/>
      <x:c r="SB65" s="59"/>
      <x:c r="SC65" s="59"/>
      <x:c r="SD65" s="59"/>
      <x:c r="SE65" s="59"/>
      <x:c r="SF65" s="59"/>
    </x:row>
    <x:row r="67" ht="15.75" customHeight="1">
      <x:c r="A67" s="62" t="s">
        <x:v>130</x:v>
      </x:c>
      <x:c r="B67" s="62"/>
      <x:c r="C67" s="62"/>
      <x:c r="D67" s="62"/>
      <x:c r="E67" s="62"/>
      <x:c r="F67" s="62"/>
      <x:c r="G67" s="62"/>
      <x:c r="H67" s="62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  <x:c r="AA67" s="59"/>
      <x:c r="AB67" s="59"/>
      <x:c r="AC67" s="59"/>
      <x:c r="AD67" s="59"/>
      <x:c r="AE67" s="59"/>
      <x:c r="AF67" s="59"/>
      <x:c r="AG67" s="59"/>
      <x:c r="AH67" s="59"/>
      <x:c r="AI67" s="59"/>
      <x:c r="AJ67" s="59"/>
      <x:c r="AK67" s="59"/>
      <x:c r="AL67" s="59"/>
      <x:c r="AM67" s="59"/>
      <x:c r="AN67" s="59"/>
      <x:c r="AO67" s="59"/>
      <x:c r="AP67" s="59"/>
      <x:c r="AQ67" s="59"/>
      <x:c r="AR67" s="59"/>
      <x:c r="AS67" s="59"/>
      <x:c r="AT67" s="59"/>
      <x:c r="AU67" s="59"/>
      <x:c r="AV67" s="59"/>
      <x:c r="AW67" s="59"/>
      <x:c r="AX67" s="59"/>
      <x:c r="AY67" s="59"/>
      <x:c r="AZ67" s="59"/>
      <x:c r="BA67" s="59"/>
      <x:c r="BB67" s="59"/>
      <x:c r="BC67" s="59"/>
      <x:c r="BD67" s="59"/>
      <x:c r="BE67" s="59"/>
      <x:c r="BF67" s="59"/>
      <x:c r="BG67" s="59"/>
      <x:c r="BH67" s="59"/>
      <x:c r="BI67" s="59"/>
      <x:c r="BJ67" s="59"/>
      <x:c r="BK67" s="59"/>
      <x:c r="BL67" s="59"/>
      <x:c r="BM67" s="59"/>
      <x:c r="BN67" s="59"/>
      <x:c r="BO67" s="59"/>
      <x:c r="BP67" s="59"/>
      <x:c r="BQ67" s="59"/>
      <x:c r="BR67" s="59"/>
      <x:c r="BS67" s="59"/>
      <x:c r="BT67" s="59"/>
      <x:c r="BU67" s="59"/>
      <x:c r="BV67" s="59"/>
      <x:c r="BW67" s="59"/>
      <x:c r="BX67" s="59"/>
      <x:c r="BY67" s="59"/>
      <x:c r="BZ67" s="59"/>
      <x:c r="CA67" s="59"/>
      <x:c r="CB67" s="59"/>
      <x:c r="CC67" s="59"/>
      <x:c r="CD67" s="59"/>
      <x:c r="CE67" s="59"/>
      <x:c r="CF67" s="59"/>
      <x:c r="CG67" s="59"/>
      <x:c r="CH67" s="59"/>
      <x:c r="CI67" s="59"/>
      <x:c r="CJ67" s="59"/>
      <x:c r="CK67" s="59"/>
      <x:c r="CL67" s="59"/>
      <x:c r="CM67" s="59"/>
      <x:c r="CN67" s="59"/>
      <x:c r="CO67" s="59"/>
      <x:c r="CP67" s="59"/>
      <x:c r="CQ67" s="59"/>
      <x:c r="CR67" s="59"/>
      <x:c r="CS67" s="59"/>
      <x:c r="CT67" s="59"/>
      <x:c r="CU67" s="59"/>
      <x:c r="CV67" s="59"/>
      <x:c r="CW67" s="59"/>
      <x:c r="CX67" s="59"/>
      <x:c r="CY67" s="59"/>
      <x:c r="CZ67" s="59"/>
      <x:c r="DA67" s="59"/>
      <x:c r="DB67" s="59"/>
      <x:c r="DC67" s="59"/>
      <x:c r="DD67" s="59"/>
      <x:c r="DE67" s="59"/>
      <x:c r="DF67" s="59"/>
      <x:c r="DG67" s="59"/>
      <x:c r="DH67" s="59"/>
      <x:c r="DI67" s="59"/>
      <x:c r="DJ67" s="59"/>
      <x:c r="DK67" s="59"/>
      <x:c r="DL67" s="59"/>
      <x:c r="DM67" s="59"/>
      <x:c r="DN67" s="59"/>
      <x:c r="DO67" s="59"/>
      <x:c r="DP67" s="59"/>
      <x:c r="DQ67" s="59"/>
      <x:c r="DR67" s="59"/>
      <x:c r="DS67" s="59"/>
      <x:c r="DT67" s="59"/>
      <x:c r="DU67" s="59"/>
      <x:c r="DV67" s="59"/>
      <x:c r="DW67" s="59"/>
      <x:c r="DX67" s="59"/>
      <x:c r="DY67" s="59"/>
      <x:c r="DZ67" s="59"/>
      <x:c r="EA67" s="59"/>
      <x:c r="EB67" s="59"/>
      <x:c r="EC67" s="59"/>
      <x:c r="ED67" s="59"/>
      <x:c r="EE67" s="59"/>
      <x:c r="EF67" s="59"/>
      <x:c r="EG67" s="59"/>
      <x:c r="EH67" s="59"/>
      <x:c r="EI67" s="59"/>
      <x:c r="EJ67" s="59"/>
      <x:c r="EK67" s="59"/>
      <x:c r="EL67" s="59"/>
      <x:c r="EM67" s="59"/>
      <x:c r="EN67" s="59"/>
      <x:c r="EO67" s="59"/>
      <x:c r="EP67" s="59"/>
      <x:c r="EQ67" s="59"/>
      <x:c r="ER67" s="59"/>
      <x:c r="ES67" s="59"/>
      <x:c r="ET67" s="59"/>
      <x:c r="EU67" s="59"/>
      <x:c r="EV67" s="59"/>
      <x:c r="EW67" s="59"/>
      <x:c r="EX67" s="59"/>
      <x:c r="EY67" s="59"/>
      <x:c r="EZ67" s="59"/>
      <x:c r="FA67" s="59"/>
      <x:c r="FB67" s="59"/>
      <x:c r="FC67" s="59"/>
      <x:c r="FD67" s="59"/>
      <x:c r="FE67" s="59"/>
      <x:c r="FF67" s="59"/>
      <x:c r="FG67" s="59"/>
      <x:c r="FH67" s="59"/>
      <x:c r="FI67" s="59"/>
      <x:c r="FJ67" s="59"/>
      <x:c r="FK67" s="59"/>
      <x:c r="FL67" s="59"/>
      <x:c r="FM67" s="59"/>
      <x:c r="FN67" s="59"/>
      <x:c r="FO67" s="59"/>
      <x:c r="FP67" s="59"/>
      <x:c r="FQ67" s="59"/>
      <x:c r="FR67" s="59"/>
      <x:c r="FS67" s="59"/>
      <x:c r="FT67" s="59"/>
      <x:c r="FU67" s="59"/>
      <x:c r="FV67" s="59"/>
      <x:c r="FW67" s="59"/>
      <x:c r="FX67" s="59"/>
      <x:c r="FY67" s="59"/>
      <x:c r="FZ67" s="59"/>
      <x:c r="GA67" s="59"/>
      <x:c r="GB67" s="59"/>
      <x:c r="GC67" s="59"/>
      <x:c r="GD67" s="59"/>
      <x:c r="GE67" s="59"/>
      <x:c r="GF67" s="59"/>
      <x:c r="GG67" s="59"/>
      <x:c r="GH67" s="59"/>
      <x:c r="GI67" s="59"/>
      <x:c r="GJ67" s="59"/>
      <x:c r="GK67" s="59"/>
      <x:c r="GL67" s="59"/>
      <x:c r="GM67" s="59"/>
      <x:c r="GN67" s="59"/>
      <x:c r="GO67" s="59"/>
      <x:c r="GP67" s="59"/>
      <x:c r="GQ67" s="59"/>
      <x:c r="GR67" s="59"/>
      <x:c r="GS67" s="59"/>
      <x:c r="GT67" s="59"/>
      <x:c r="GU67" s="59"/>
      <x:c r="GV67" s="59"/>
      <x:c r="GW67" s="59"/>
      <x:c r="GX67" s="59"/>
      <x:c r="GY67" s="59"/>
      <x:c r="GZ67" s="59"/>
      <x:c r="HA67" s="59"/>
      <x:c r="HB67" s="59"/>
      <x:c r="HC67" s="59"/>
      <x:c r="HD67" s="59"/>
      <x:c r="HE67" s="59"/>
      <x:c r="HF67" s="59"/>
      <x:c r="HG67" s="59"/>
      <x:c r="HH67" s="59"/>
      <x:c r="HI67" s="59"/>
      <x:c r="HJ67" s="59"/>
      <x:c r="HK67" s="59"/>
      <x:c r="HL67" s="59"/>
      <x:c r="HM67" s="59"/>
      <x:c r="HN67" s="59"/>
      <x:c r="HO67" s="59"/>
      <x:c r="HP67" s="59"/>
      <x:c r="HQ67" s="59"/>
      <x:c r="HR67" s="59"/>
      <x:c r="HS67" s="59"/>
      <x:c r="HT67" s="59"/>
      <x:c r="HU67" s="59"/>
      <x:c r="HV67" s="59"/>
      <x:c r="HW67" s="59"/>
      <x:c r="HX67" s="59"/>
      <x:c r="HY67" s="59"/>
      <x:c r="HZ67" s="59"/>
      <x:c r="IA67" s="59"/>
      <x:c r="IB67" s="59"/>
      <x:c r="IC67" s="59"/>
      <x:c r="ID67" s="59"/>
      <x:c r="IE67" s="59"/>
      <x:c r="IF67" s="59"/>
      <x:c r="IG67" s="59"/>
      <x:c r="IH67" s="59"/>
      <x:c r="II67" s="59"/>
      <x:c r="IJ67" s="59"/>
      <x:c r="IK67" s="59"/>
      <x:c r="IL67" s="59"/>
      <x:c r="IM67" s="59"/>
      <x:c r="IN67" s="59"/>
      <x:c r="IO67" s="59"/>
      <x:c r="IP67" s="59"/>
      <x:c r="IQ67" s="59"/>
      <x:c r="IR67" s="59"/>
      <x:c r="IS67" s="59"/>
      <x:c r="IT67" s="59"/>
      <x:c r="IU67" s="59"/>
      <x:c r="IV67" s="59"/>
      <x:c r="IW67" s="59"/>
      <x:c r="IX67" s="59"/>
      <x:c r="IY67" s="59"/>
      <x:c r="IZ67" s="59"/>
      <x:c r="JA67" s="59"/>
      <x:c r="JB67" s="59"/>
      <x:c r="JC67" s="59"/>
      <x:c r="JD67" s="59"/>
      <x:c r="JE67" s="59"/>
      <x:c r="JF67" s="59"/>
      <x:c r="JG67" s="59"/>
      <x:c r="JH67" s="59"/>
      <x:c r="JI67" s="59"/>
      <x:c r="JJ67" s="59"/>
      <x:c r="JK67" s="59"/>
      <x:c r="JL67" s="59"/>
      <x:c r="JM67" s="59"/>
      <x:c r="JN67" s="59"/>
      <x:c r="JO67" s="59"/>
      <x:c r="JP67" s="59"/>
      <x:c r="JQ67" s="59"/>
      <x:c r="JR67" s="59"/>
      <x:c r="JS67" s="59"/>
      <x:c r="JT67" s="59"/>
      <x:c r="JU67" s="59"/>
      <x:c r="JV67" s="59"/>
      <x:c r="JW67" s="59"/>
      <x:c r="JX67" s="59"/>
      <x:c r="JY67" s="59"/>
      <x:c r="JZ67" s="59"/>
      <x:c r="KA67" s="59"/>
      <x:c r="KB67" s="59"/>
      <x:c r="KC67" s="59"/>
      <x:c r="KD67" s="59"/>
      <x:c r="KE67" s="59"/>
      <x:c r="KF67" s="59"/>
      <x:c r="KG67" s="59"/>
      <x:c r="KH67" s="59"/>
      <x:c r="KI67" s="59"/>
      <x:c r="KJ67" s="59"/>
      <x:c r="KK67" s="59"/>
      <x:c r="KL67" s="59"/>
      <x:c r="KM67" s="59"/>
      <x:c r="KN67" s="59"/>
      <x:c r="KO67" s="59"/>
      <x:c r="KP67" s="59"/>
      <x:c r="KQ67" s="59"/>
      <x:c r="KR67" s="59"/>
      <x:c r="KS67" s="59"/>
      <x:c r="KT67" s="59"/>
      <x:c r="KU67" s="59"/>
      <x:c r="KV67" s="59"/>
      <x:c r="KW67" s="59"/>
      <x:c r="KX67" s="59"/>
      <x:c r="KY67" s="59"/>
      <x:c r="KZ67" s="59"/>
      <x:c r="LA67" s="59"/>
      <x:c r="LB67" s="59"/>
      <x:c r="LC67" s="59"/>
      <x:c r="LD67" s="59"/>
      <x:c r="LE67" s="59"/>
      <x:c r="LF67" s="59"/>
      <x:c r="LG67" s="59"/>
      <x:c r="LH67" s="59"/>
      <x:c r="LI67" s="59"/>
      <x:c r="LJ67" s="59"/>
      <x:c r="LK67" s="59"/>
      <x:c r="LL67" s="59"/>
      <x:c r="LM67" s="59"/>
      <x:c r="LN67" s="59"/>
      <x:c r="LO67" s="59"/>
      <x:c r="LP67" s="59"/>
      <x:c r="LQ67" s="59"/>
      <x:c r="LR67" s="59"/>
      <x:c r="LS67" s="59"/>
      <x:c r="LT67" s="59"/>
      <x:c r="LU67" s="59"/>
      <x:c r="LV67" s="59"/>
      <x:c r="LW67" s="59"/>
      <x:c r="LX67" s="59"/>
      <x:c r="LY67" s="59"/>
      <x:c r="LZ67" s="59"/>
      <x:c r="MA67" s="59"/>
      <x:c r="MB67" s="59"/>
      <x:c r="MC67" s="59"/>
      <x:c r="MD67" s="59"/>
      <x:c r="ME67" s="59"/>
      <x:c r="MF67" s="59"/>
      <x:c r="MG67" s="59"/>
      <x:c r="MH67" s="59"/>
      <x:c r="MI67" s="59"/>
      <x:c r="MJ67" s="59"/>
      <x:c r="MK67" s="59"/>
      <x:c r="ML67" s="59"/>
      <x:c r="MM67" s="59"/>
      <x:c r="MN67" s="59"/>
      <x:c r="MO67" s="59"/>
      <x:c r="MP67" s="59"/>
      <x:c r="MQ67" s="59"/>
      <x:c r="MR67" s="59"/>
      <x:c r="MS67" s="59"/>
      <x:c r="MT67" s="59"/>
      <x:c r="MU67" s="59"/>
      <x:c r="MV67" s="59"/>
      <x:c r="MW67" s="59"/>
      <x:c r="MX67" s="59"/>
      <x:c r="MY67" s="59"/>
      <x:c r="MZ67" s="59"/>
      <x:c r="NA67" s="59"/>
      <x:c r="NB67" s="59"/>
      <x:c r="NC67" s="59"/>
      <x:c r="ND67" s="59"/>
      <x:c r="NE67" s="59"/>
      <x:c r="NF67" s="59"/>
      <x:c r="NG67" s="59"/>
      <x:c r="NH67" s="59"/>
      <x:c r="NI67" s="59"/>
      <x:c r="NJ67" s="59"/>
      <x:c r="NK67" s="59"/>
      <x:c r="NL67" s="59"/>
      <x:c r="NM67" s="59"/>
      <x:c r="NN67" s="59"/>
      <x:c r="NO67" s="59"/>
      <x:c r="NP67" s="59"/>
      <x:c r="NQ67" s="59"/>
      <x:c r="NR67" s="59"/>
      <x:c r="NS67" s="59"/>
      <x:c r="NT67" s="59"/>
      <x:c r="NU67" s="59"/>
      <x:c r="NV67" s="59"/>
      <x:c r="NW67" s="59"/>
      <x:c r="NX67" s="59"/>
      <x:c r="NY67" s="59"/>
      <x:c r="NZ67" s="59"/>
      <x:c r="OA67" s="59"/>
      <x:c r="OB67" s="59"/>
      <x:c r="OC67" s="59"/>
      <x:c r="OD67" s="59"/>
      <x:c r="OE67" s="59"/>
      <x:c r="OF67" s="59"/>
      <x:c r="OG67" s="59"/>
      <x:c r="OH67" s="59"/>
      <x:c r="OI67" s="59"/>
      <x:c r="OJ67" s="59"/>
      <x:c r="OK67" s="59"/>
      <x:c r="OL67" s="59"/>
      <x:c r="OM67" s="59"/>
      <x:c r="ON67" s="59"/>
      <x:c r="OO67" s="59"/>
      <x:c r="OP67" s="59"/>
      <x:c r="OQ67" s="59"/>
      <x:c r="OR67" s="59"/>
      <x:c r="OS67" s="59"/>
      <x:c r="OT67" s="59"/>
      <x:c r="OU67" s="59"/>
      <x:c r="OV67" s="59"/>
      <x:c r="OW67" s="59"/>
      <x:c r="OX67" s="59"/>
      <x:c r="OY67" s="59"/>
      <x:c r="OZ67" s="59"/>
      <x:c r="PA67" s="59"/>
      <x:c r="PB67" s="59"/>
      <x:c r="PC67" s="59"/>
      <x:c r="PD67" s="59"/>
      <x:c r="PE67" s="59"/>
      <x:c r="PF67" s="59"/>
      <x:c r="PG67" s="59"/>
      <x:c r="PH67" s="59"/>
      <x:c r="PI67" s="59"/>
      <x:c r="PJ67" s="59"/>
      <x:c r="PK67" s="59"/>
      <x:c r="PL67" s="59"/>
      <x:c r="PM67" s="59"/>
      <x:c r="PN67" s="59"/>
      <x:c r="PO67" s="59"/>
      <x:c r="PP67" s="59"/>
      <x:c r="PQ67" s="59"/>
      <x:c r="PR67" s="59"/>
      <x:c r="PS67" s="59"/>
      <x:c r="PT67" s="59"/>
      <x:c r="PU67" s="59"/>
      <x:c r="PV67" s="59"/>
      <x:c r="PW67" s="59"/>
      <x:c r="PX67" s="59"/>
      <x:c r="PY67" s="59"/>
      <x:c r="PZ67" s="59"/>
      <x:c r="QA67" s="59"/>
      <x:c r="QB67" s="59"/>
      <x:c r="QC67" s="59"/>
      <x:c r="QD67" s="59"/>
      <x:c r="QE67" s="59"/>
      <x:c r="QF67" s="59"/>
      <x:c r="QG67" s="59"/>
      <x:c r="QH67" s="59"/>
      <x:c r="QI67" s="59"/>
      <x:c r="QJ67" s="59"/>
      <x:c r="QK67" s="59"/>
      <x:c r="QL67" s="59"/>
      <x:c r="QM67" s="59"/>
      <x:c r="QN67" s="59"/>
      <x:c r="QO67" s="59"/>
      <x:c r="QP67" s="59"/>
      <x:c r="QQ67" s="59"/>
      <x:c r="QR67" s="59"/>
      <x:c r="QS67" s="59"/>
      <x:c r="QT67" s="59"/>
      <x:c r="QU67" s="59"/>
      <x:c r="QV67" s="59"/>
      <x:c r="QW67" s="59"/>
      <x:c r="QX67" s="59"/>
      <x:c r="QY67" s="59"/>
      <x:c r="QZ67" s="59"/>
      <x:c r="RA67" s="59"/>
      <x:c r="RB67" s="59"/>
      <x:c r="RC67" s="59"/>
      <x:c r="RD67" s="59"/>
      <x:c r="RE67" s="59"/>
      <x:c r="RF67" s="59"/>
      <x:c r="RG67" s="59"/>
      <x:c r="RH67" s="59"/>
      <x:c r="RI67" s="59"/>
      <x:c r="RJ67" s="59"/>
      <x:c r="RK67" s="59"/>
      <x:c r="RL67" s="59"/>
      <x:c r="RM67" s="59"/>
      <x:c r="RN67" s="59"/>
      <x:c r="RO67" s="59"/>
      <x:c r="RP67" s="59"/>
      <x:c r="RQ67" s="59"/>
      <x:c r="RR67" s="59"/>
      <x:c r="RS67" s="59"/>
      <x:c r="RT67" s="59"/>
      <x:c r="RU67" s="59"/>
      <x:c r="RV67" s="59"/>
      <x:c r="RW67" s="59"/>
      <x:c r="RX67" s="59"/>
      <x:c r="RY67" s="59"/>
      <x:c r="RZ67" s="59"/>
      <x:c r="SA67" s="59"/>
      <x:c r="SB67" s="59"/>
      <x:c r="SC67" s="59"/>
      <x:c r="SD67" s="59"/>
      <x:c r="SE67" s="59"/>
      <x:c r="SF67" s="59"/>
    </x:row>
    <x:row r="68">
      <x:c r="A68" s="60">
        <x:v>1</x:v>
      </x:c>
      <x:c r="B68" s="63" t="s">
        <x:v>131</x:v>
      </x:c>
      <x:c r="C68" s="63"/>
      <x:c r="D68" s="63"/>
      <x:c r="E68" s="63"/>
      <x:c r="F68" s="63" t="s">
        <x:v>132</x:v>
      </x:c>
      <x:c r="G68" s="63"/>
      <x:c r="H68" s="63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  <x:c r="AA68" s="59"/>
      <x:c r="AB68" s="59"/>
      <x:c r="AC68" s="59"/>
      <x:c r="AD68" s="59"/>
      <x:c r="AE68" s="59"/>
      <x:c r="AF68" s="59"/>
      <x:c r="AG68" s="59"/>
      <x:c r="AH68" s="59"/>
      <x:c r="AI68" s="59"/>
      <x:c r="AJ68" s="59"/>
      <x:c r="AK68" s="59"/>
      <x:c r="AL68" s="59"/>
      <x:c r="AM68" s="59"/>
      <x:c r="AN68" s="59"/>
      <x:c r="AO68" s="59"/>
      <x:c r="AP68" s="59"/>
      <x:c r="AQ68" s="59"/>
      <x:c r="AR68" s="59"/>
      <x:c r="AS68" s="59"/>
      <x:c r="AT68" s="59"/>
      <x:c r="AU68" s="59"/>
      <x:c r="AV68" s="59"/>
      <x:c r="AW68" s="59"/>
      <x:c r="AX68" s="59"/>
      <x:c r="AY68" s="59"/>
      <x:c r="AZ68" s="59"/>
      <x:c r="BA68" s="59"/>
      <x:c r="BB68" s="59"/>
      <x:c r="BC68" s="59"/>
      <x:c r="BD68" s="59"/>
      <x:c r="BE68" s="59"/>
      <x:c r="BF68" s="59"/>
      <x:c r="BG68" s="59"/>
      <x:c r="BH68" s="59"/>
      <x:c r="BI68" s="59"/>
      <x:c r="BJ68" s="59"/>
      <x:c r="BK68" s="59"/>
      <x:c r="BL68" s="59"/>
      <x:c r="BM68" s="59"/>
      <x:c r="BN68" s="59"/>
      <x:c r="BO68" s="59"/>
      <x:c r="BP68" s="59"/>
      <x:c r="BQ68" s="59"/>
      <x:c r="BR68" s="59"/>
      <x:c r="BS68" s="59"/>
      <x:c r="BT68" s="59"/>
      <x:c r="BU68" s="59"/>
      <x:c r="BV68" s="59"/>
      <x:c r="BW68" s="59"/>
      <x:c r="BX68" s="59"/>
      <x:c r="BY68" s="59"/>
      <x:c r="BZ68" s="59"/>
      <x:c r="CA68" s="59"/>
      <x:c r="CB68" s="59"/>
      <x:c r="CC68" s="59"/>
      <x:c r="CD68" s="59"/>
      <x:c r="CE68" s="59"/>
      <x:c r="CF68" s="59"/>
      <x:c r="CG68" s="59"/>
      <x:c r="CH68" s="59"/>
      <x:c r="CI68" s="59"/>
      <x:c r="CJ68" s="59"/>
      <x:c r="CK68" s="59"/>
      <x:c r="CL68" s="59"/>
      <x:c r="CM68" s="59"/>
      <x:c r="CN68" s="59"/>
      <x:c r="CO68" s="59"/>
      <x:c r="CP68" s="59"/>
      <x:c r="CQ68" s="59"/>
      <x:c r="CR68" s="59"/>
      <x:c r="CS68" s="59"/>
      <x:c r="CT68" s="59"/>
      <x:c r="CU68" s="59"/>
      <x:c r="CV68" s="59"/>
      <x:c r="CW68" s="59"/>
      <x:c r="CX68" s="59"/>
      <x:c r="CY68" s="59"/>
      <x:c r="CZ68" s="59"/>
      <x:c r="DA68" s="59"/>
      <x:c r="DB68" s="59"/>
      <x:c r="DC68" s="59"/>
      <x:c r="DD68" s="59"/>
      <x:c r="DE68" s="59"/>
      <x:c r="DF68" s="59"/>
      <x:c r="DG68" s="59"/>
      <x:c r="DH68" s="59"/>
      <x:c r="DI68" s="59"/>
      <x:c r="DJ68" s="59"/>
      <x:c r="DK68" s="59"/>
      <x:c r="DL68" s="59"/>
      <x:c r="DM68" s="59"/>
      <x:c r="DN68" s="59"/>
      <x:c r="DO68" s="59"/>
      <x:c r="DP68" s="59"/>
      <x:c r="DQ68" s="59"/>
      <x:c r="DR68" s="59"/>
      <x:c r="DS68" s="59"/>
      <x:c r="DT68" s="59"/>
      <x:c r="DU68" s="59"/>
      <x:c r="DV68" s="59"/>
      <x:c r="DW68" s="59"/>
      <x:c r="DX68" s="59"/>
      <x:c r="DY68" s="59"/>
      <x:c r="DZ68" s="59"/>
      <x:c r="EA68" s="59"/>
      <x:c r="EB68" s="59"/>
      <x:c r="EC68" s="59"/>
      <x:c r="ED68" s="59"/>
      <x:c r="EE68" s="59"/>
      <x:c r="EF68" s="59"/>
      <x:c r="EG68" s="59"/>
      <x:c r="EH68" s="59"/>
      <x:c r="EI68" s="59"/>
      <x:c r="EJ68" s="59"/>
      <x:c r="EK68" s="59"/>
      <x:c r="EL68" s="59"/>
      <x:c r="EM68" s="59"/>
      <x:c r="EN68" s="59"/>
      <x:c r="EO68" s="59"/>
      <x:c r="EP68" s="59"/>
      <x:c r="EQ68" s="59"/>
      <x:c r="ER68" s="59"/>
      <x:c r="ES68" s="59"/>
      <x:c r="ET68" s="59"/>
      <x:c r="EU68" s="59"/>
      <x:c r="EV68" s="59"/>
      <x:c r="EW68" s="59"/>
      <x:c r="EX68" s="59"/>
      <x:c r="EY68" s="59"/>
      <x:c r="EZ68" s="59"/>
      <x:c r="FA68" s="59"/>
      <x:c r="FB68" s="59"/>
      <x:c r="FC68" s="59"/>
      <x:c r="FD68" s="59"/>
      <x:c r="FE68" s="59"/>
      <x:c r="FF68" s="59"/>
      <x:c r="FG68" s="59"/>
      <x:c r="FH68" s="59"/>
      <x:c r="FI68" s="59"/>
      <x:c r="FJ68" s="59"/>
      <x:c r="FK68" s="59"/>
      <x:c r="FL68" s="59"/>
      <x:c r="FM68" s="59"/>
      <x:c r="FN68" s="59"/>
      <x:c r="FO68" s="59"/>
      <x:c r="FP68" s="59"/>
      <x:c r="FQ68" s="59"/>
      <x:c r="FR68" s="59"/>
      <x:c r="FS68" s="59"/>
      <x:c r="FT68" s="59"/>
      <x:c r="FU68" s="59"/>
      <x:c r="FV68" s="59"/>
      <x:c r="FW68" s="59"/>
      <x:c r="FX68" s="59"/>
      <x:c r="FY68" s="59"/>
      <x:c r="FZ68" s="59"/>
      <x:c r="GA68" s="59"/>
      <x:c r="GB68" s="59"/>
      <x:c r="GC68" s="59"/>
      <x:c r="GD68" s="59"/>
      <x:c r="GE68" s="59"/>
      <x:c r="GF68" s="59"/>
      <x:c r="GG68" s="59"/>
      <x:c r="GH68" s="59"/>
      <x:c r="GI68" s="59"/>
      <x:c r="GJ68" s="59"/>
      <x:c r="GK68" s="59"/>
      <x:c r="GL68" s="59"/>
      <x:c r="GM68" s="59"/>
      <x:c r="GN68" s="59"/>
      <x:c r="GO68" s="59"/>
      <x:c r="GP68" s="59"/>
      <x:c r="GQ68" s="59"/>
      <x:c r="GR68" s="59"/>
      <x:c r="GS68" s="59"/>
      <x:c r="GT68" s="59"/>
      <x:c r="GU68" s="59"/>
      <x:c r="GV68" s="59"/>
      <x:c r="GW68" s="59"/>
      <x:c r="GX68" s="59"/>
      <x:c r="GY68" s="59"/>
      <x:c r="GZ68" s="59"/>
      <x:c r="HA68" s="59"/>
      <x:c r="HB68" s="59"/>
      <x:c r="HC68" s="59"/>
      <x:c r="HD68" s="59"/>
      <x:c r="HE68" s="59"/>
      <x:c r="HF68" s="59"/>
      <x:c r="HG68" s="59"/>
      <x:c r="HH68" s="59"/>
      <x:c r="HI68" s="59"/>
      <x:c r="HJ68" s="59"/>
      <x:c r="HK68" s="59"/>
      <x:c r="HL68" s="59"/>
      <x:c r="HM68" s="59"/>
      <x:c r="HN68" s="59"/>
      <x:c r="HO68" s="59"/>
      <x:c r="HP68" s="59"/>
      <x:c r="HQ68" s="59"/>
      <x:c r="HR68" s="59"/>
      <x:c r="HS68" s="59"/>
      <x:c r="HT68" s="59"/>
      <x:c r="HU68" s="59"/>
      <x:c r="HV68" s="59"/>
      <x:c r="HW68" s="59"/>
      <x:c r="HX68" s="59"/>
      <x:c r="HY68" s="59"/>
      <x:c r="HZ68" s="59"/>
      <x:c r="IA68" s="59"/>
      <x:c r="IB68" s="59"/>
      <x:c r="IC68" s="59"/>
      <x:c r="ID68" s="59"/>
      <x:c r="IE68" s="59"/>
      <x:c r="IF68" s="59"/>
      <x:c r="IG68" s="59"/>
      <x:c r="IH68" s="59"/>
      <x:c r="II68" s="59"/>
      <x:c r="IJ68" s="59"/>
      <x:c r="IK68" s="59"/>
      <x:c r="IL68" s="59"/>
      <x:c r="IM68" s="59"/>
      <x:c r="IN68" s="59"/>
      <x:c r="IO68" s="59"/>
      <x:c r="IP68" s="59"/>
      <x:c r="IQ68" s="59"/>
      <x:c r="IR68" s="59"/>
      <x:c r="IS68" s="59"/>
      <x:c r="IT68" s="59"/>
      <x:c r="IU68" s="59"/>
      <x:c r="IV68" s="59"/>
      <x:c r="IW68" s="59"/>
      <x:c r="IX68" s="59"/>
      <x:c r="IY68" s="59"/>
      <x:c r="IZ68" s="59"/>
      <x:c r="JA68" s="59"/>
      <x:c r="JB68" s="59"/>
      <x:c r="JC68" s="59"/>
      <x:c r="JD68" s="59"/>
      <x:c r="JE68" s="59"/>
      <x:c r="JF68" s="59"/>
      <x:c r="JG68" s="59"/>
      <x:c r="JH68" s="59"/>
      <x:c r="JI68" s="59"/>
      <x:c r="JJ68" s="59"/>
      <x:c r="JK68" s="59"/>
      <x:c r="JL68" s="59"/>
      <x:c r="JM68" s="59"/>
      <x:c r="JN68" s="59"/>
      <x:c r="JO68" s="59"/>
      <x:c r="JP68" s="59"/>
      <x:c r="JQ68" s="59"/>
      <x:c r="JR68" s="59"/>
      <x:c r="JS68" s="59"/>
      <x:c r="JT68" s="59"/>
      <x:c r="JU68" s="59"/>
      <x:c r="JV68" s="59"/>
      <x:c r="JW68" s="59"/>
      <x:c r="JX68" s="59"/>
      <x:c r="JY68" s="59"/>
      <x:c r="JZ68" s="59"/>
      <x:c r="KA68" s="59"/>
      <x:c r="KB68" s="59"/>
      <x:c r="KC68" s="59"/>
      <x:c r="KD68" s="59"/>
      <x:c r="KE68" s="59"/>
      <x:c r="KF68" s="59"/>
      <x:c r="KG68" s="59"/>
      <x:c r="KH68" s="59"/>
      <x:c r="KI68" s="59"/>
      <x:c r="KJ68" s="59"/>
      <x:c r="KK68" s="59"/>
      <x:c r="KL68" s="59"/>
      <x:c r="KM68" s="59"/>
      <x:c r="KN68" s="59"/>
      <x:c r="KO68" s="59"/>
      <x:c r="KP68" s="59"/>
      <x:c r="KQ68" s="59"/>
      <x:c r="KR68" s="59"/>
      <x:c r="KS68" s="59"/>
      <x:c r="KT68" s="59"/>
      <x:c r="KU68" s="59"/>
      <x:c r="KV68" s="59"/>
      <x:c r="KW68" s="59"/>
      <x:c r="KX68" s="59"/>
      <x:c r="KY68" s="59"/>
      <x:c r="KZ68" s="59"/>
      <x:c r="LA68" s="59"/>
      <x:c r="LB68" s="59"/>
      <x:c r="LC68" s="59"/>
      <x:c r="LD68" s="59"/>
      <x:c r="LE68" s="59"/>
      <x:c r="LF68" s="59"/>
      <x:c r="LG68" s="59"/>
      <x:c r="LH68" s="59"/>
      <x:c r="LI68" s="59"/>
      <x:c r="LJ68" s="59"/>
      <x:c r="LK68" s="59"/>
      <x:c r="LL68" s="59"/>
      <x:c r="LM68" s="59"/>
      <x:c r="LN68" s="59"/>
      <x:c r="LO68" s="59"/>
      <x:c r="LP68" s="59"/>
      <x:c r="LQ68" s="59"/>
      <x:c r="LR68" s="59"/>
      <x:c r="LS68" s="59"/>
      <x:c r="LT68" s="59"/>
      <x:c r="LU68" s="59"/>
      <x:c r="LV68" s="59"/>
      <x:c r="LW68" s="59"/>
      <x:c r="LX68" s="59"/>
      <x:c r="LY68" s="59"/>
      <x:c r="LZ68" s="59"/>
      <x:c r="MA68" s="59"/>
      <x:c r="MB68" s="59"/>
      <x:c r="MC68" s="59"/>
      <x:c r="MD68" s="59"/>
      <x:c r="ME68" s="59"/>
      <x:c r="MF68" s="59"/>
      <x:c r="MG68" s="59"/>
      <x:c r="MH68" s="59"/>
      <x:c r="MI68" s="59"/>
      <x:c r="MJ68" s="59"/>
      <x:c r="MK68" s="59"/>
      <x:c r="ML68" s="59"/>
      <x:c r="MM68" s="59"/>
      <x:c r="MN68" s="59"/>
      <x:c r="MO68" s="59"/>
      <x:c r="MP68" s="59"/>
      <x:c r="MQ68" s="59"/>
      <x:c r="MR68" s="59"/>
      <x:c r="MS68" s="59"/>
      <x:c r="MT68" s="59"/>
      <x:c r="MU68" s="59"/>
      <x:c r="MV68" s="59"/>
      <x:c r="MW68" s="59"/>
      <x:c r="MX68" s="59"/>
      <x:c r="MY68" s="59"/>
      <x:c r="MZ68" s="59"/>
      <x:c r="NA68" s="59"/>
      <x:c r="NB68" s="59"/>
      <x:c r="NC68" s="59"/>
      <x:c r="ND68" s="59"/>
      <x:c r="NE68" s="59"/>
      <x:c r="NF68" s="59"/>
      <x:c r="NG68" s="59"/>
      <x:c r="NH68" s="59"/>
      <x:c r="NI68" s="59"/>
      <x:c r="NJ68" s="59"/>
      <x:c r="NK68" s="59"/>
      <x:c r="NL68" s="59"/>
      <x:c r="NM68" s="59"/>
      <x:c r="NN68" s="59"/>
      <x:c r="NO68" s="59"/>
      <x:c r="NP68" s="59"/>
      <x:c r="NQ68" s="59"/>
      <x:c r="NR68" s="59"/>
      <x:c r="NS68" s="59"/>
      <x:c r="NT68" s="59"/>
      <x:c r="NU68" s="59"/>
      <x:c r="NV68" s="59"/>
      <x:c r="NW68" s="59"/>
      <x:c r="NX68" s="59"/>
      <x:c r="NY68" s="59"/>
      <x:c r="NZ68" s="59"/>
      <x:c r="OA68" s="59"/>
      <x:c r="OB68" s="59"/>
      <x:c r="OC68" s="59"/>
      <x:c r="OD68" s="59"/>
      <x:c r="OE68" s="59"/>
      <x:c r="OF68" s="59"/>
      <x:c r="OG68" s="59"/>
      <x:c r="OH68" s="59"/>
      <x:c r="OI68" s="59"/>
      <x:c r="OJ68" s="59"/>
      <x:c r="OK68" s="59"/>
      <x:c r="OL68" s="59"/>
      <x:c r="OM68" s="59"/>
      <x:c r="ON68" s="59"/>
      <x:c r="OO68" s="59"/>
      <x:c r="OP68" s="59"/>
      <x:c r="OQ68" s="59"/>
      <x:c r="OR68" s="59"/>
      <x:c r="OS68" s="59"/>
      <x:c r="OT68" s="59"/>
      <x:c r="OU68" s="59"/>
      <x:c r="OV68" s="59"/>
      <x:c r="OW68" s="59"/>
      <x:c r="OX68" s="59"/>
      <x:c r="OY68" s="59"/>
      <x:c r="OZ68" s="59"/>
      <x:c r="PA68" s="59"/>
      <x:c r="PB68" s="59"/>
      <x:c r="PC68" s="59"/>
      <x:c r="PD68" s="59"/>
      <x:c r="PE68" s="59"/>
      <x:c r="PF68" s="59"/>
      <x:c r="PG68" s="59"/>
      <x:c r="PH68" s="59"/>
      <x:c r="PI68" s="59"/>
      <x:c r="PJ68" s="59"/>
      <x:c r="PK68" s="59"/>
      <x:c r="PL68" s="59"/>
      <x:c r="PM68" s="59"/>
      <x:c r="PN68" s="59"/>
      <x:c r="PO68" s="59"/>
      <x:c r="PP68" s="59"/>
      <x:c r="PQ68" s="59"/>
      <x:c r="PR68" s="59"/>
      <x:c r="PS68" s="59"/>
      <x:c r="PT68" s="59"/>
      <x:c r="PU68" s="59"/>
      <x:c r="PV68" s="59"/>
      <x:c r="PW68" s="59"/>
      <x:c r="PX68" s="59"/>
      <x:c r="PY68" s="59"/>
      <x:c r="PZ68" s="59"/>
      <x:c r="QA68" s="59"/>
      <x:c r="QB68" s="59"/>
      <x:c r="QC68" s="59"/>
      <x:c r="QD68" s="59"/>
      <x:c r="QE68" s="59"/>
      <x:c r="QF68" s="59"/>
      <x:c r="QG68" s="59"/>
      <x:c r="QH68" s="59"/>
      <x:c r="QI68" s="59"/>
      <x:c r="QJ68" s="59"/>
      <x:c r="QK68" s="59"/>
      <x:c r="QL68" s="59"/>
      <x:c r="QM68" s="59"/>
      <x:c r="QN68" s="59"/>
      <x:c r="QO68" s="59"/>
      <x:c r="QP68" s="59"/>
      <x:c r="QQ68" s="59"/>
      <x:c r="QR68" s="59"/>
      <x:c r="QS68" s="59"/>
      <x:c r="QT68" s="59"/>
      <x:c r="QU68" s="59"/>
      <x:c r="QV68" s="59"/>
      <x:c r="QW68" s="59"/>
      <x:c r="QX68" s="59"/>
      <x:c r="QY68" s="59"/>
      <x:c r="QZ68" s="59"/>
      <x:c r="RA68" s="59"/>
      <x:c r="RB68" s="59"/>
      <x:c r="RC68" s="59"/>
      <x:c r="RD68" s="59"/>
      <x:c r="RE68" s="59"/>
      <x:c r="RF68" s="59"/>
      <x:c r="RG68" s="59"/>
      <x:c r="RH68" s="59"/>
      <x:c r="RI68" s="59"/>
      <x:c r="RJ68" s="59"/>
      <x:c r="RK68" s="59"/>
      <x:c r="RL68" s="59"/>
      <x:c r="RM68" s="59"/>
      <x:c r="RN68" s="59"/>
      <x:c r="RO68" s="59"/>
      <x:c r="RP68" s="59"/>
      <x:c r="RQ68" s="59"/>
      <x:c r="RR68" s="59"/>
      <x:c r="RS68" s="59"/>
      <x:c r="RT68" s="59"/>
      <x:c r="RU68" s="59"/>
      <x:c r="RV68" s="59"/>
      <x:c r="RW68" s="59"/>
      <x:c r="RX68" s="59"/>
      <x:c r="RY68" s="59"/>
      <x:c r="RZ68" s="59"/>
      <x:c r="SA68" s="59"/>
      <x:c r="SB68" s="59"/>
      <x:c r="SC68" s="59"/>
      <x:c r="SD68" s="59"/>
      <x:c r="SE68" s="59"/>
      <x:c r="SF68" s="59"/>
    </x:row>
    <x:row r="69">
      <x:c r="A69" s="60">
        <x:v>2</x:v>
      </x:c>
      <x:c r="B69" s="63" t="s">
        <x:v>11</x:v>
      </x:c>
      <x:c r="C69" s="63"/>
      <x:c r="D69" s="63" t="s">
        <x:v>98</x:v>
      </x:c>
      <x:c r="E69" s="63"/>
      <x:c r="F69" s="63" t="str">
        <x:v>Update Current 12-Month Production.</x:v>
      </x:c>
      <x:c r="G69" s="63"/>
      <x:c r="H69" s="63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  <x:c r="AA69" s="59"/>
      <x:c r="AB69" s="59"/>
      <x:c r="AC69" s="59"/>
      <x:c r="AD69" s="59"/>
      <x:c r="AE69" s="59"/>
      <x:c r="AF69" s="59"/>
      <x:c r="AG69" s="59"/>
      <x:c r="AH69" s="59"/>
      <x:c r="AI69" s="59"/>
      <x:c r="AJ69" s="59"/>
      <x:c r="AK69" s="59"/>
      <x:c r="AL69" s="59"/>
      <x:c r="AM69" s="59"/>
      <x:c r="AN69" s="59"/>
      <x:c r="AO69" s="59"/>
      <x:c r="AP69" s="59"/>
      <x:c r="AQ69" s="59"/>
      <x:c r="AR69" s="59"/>
      <x:c r="AS69" s="59"/>
      <x:c r="AT69" s="59"/>
      <x:c r="AU69" s="59"/>
      <x:c r="AV69" s="59"/>
      <x:c r="AW69" s="59"/>
      <x:c r="AX69" s="59"/>
      <x:c r="AY69" s="59"/>
      <x:c r="AZ69" s="59"/>
      <x:c r="BA69" s="59"/>
      <x:c r="BB69" s="59"/>
      <x:c r="BC69" s="59"/>
      <x:c r="BD69" s="59"/>
      <x:c r="BE69" s="59"/>
      <x:c r="BF69" s="59"/>
      <x:c r="BG69" s="59"/>
      <x:c r="BH69" s="59"/>
      <x:c r="BI69" s="59"/>
      <x:c r="BJ69" s="59"/>
      <x:c r="BK69" s="59"/>
      <x:c r="BL69" s="59"/>
      <x:c r="BM69" s="59"/>
      <x:c r="BN69" s="59"/>
      <x:c r="BO69" s="59"/>
      <x:c r="BP69" s="59"/>
      <x:c r="BQ69" s="59"/>
      <x:c r="BR69" s="59"/>
      <x:c r="BS69" s="59"/>
      <x:c r="BT69" s="59"/>
      <x:c r="BU69" s="59"/>
      <x:c r="BV69" s="59"/>
      <x:c r="BW69" s="59"/>
      <x:c r="BX69" s="59"/>
      <x:c r="BY69" s="59"/>
      <x:c r="BZ69" s="59"/>
      <x:c r="CA69" s="59"/>
      <x:c r="CB69" s="59"/>
      <x:c r="CC69" s="59"/>
      <x:c r="CD69" s="59"/>
      <x:c r="CE69" s="59"/>
      <x:c r="CF69" s="59"/>
      <x:c r="CG69" s="59"/>
      <x:c r="CH69" s="59"/>
      <x:c r="CI69" s="59"/>
      <x:c r="CJ69" s="59"/>
      <x:c r="CK69" s="59"/>
      <x:c r="CL69" s="59"/>
      <x:c r="CM69" s="59"/>
      <x:c r="CN69" s="59"/>
      <x:c r="CO69" s="59"/>
      <x:c r="CP69" s="59"/>
      <x:c r="CQ69" s="59"/>
      <x:c r="CR69" s="59"/>
      <x:c r="CS69" s="59"/>
      <x:c r="CT69" s="59"/>
      <x:c r="CU69" s="59"/>
      <x:c r="CV69" s="59"/>
      <x:c r="CW69" s="59"/>
      <x:c r="CX69" s="59"/>
      <x:c r="CY69" s="59"/>
      <x:c r="CZ69" s="59"/>
      <x:c r="DA69" s="59"/>
      <x:c r="DB69" s="59"/>
      <x:c r="DC69" s="59"/>
      <x:c r="DD69" s="59"/>
      <x:c r="DE69" s="59"/>
      <x:c r="DF69" s="59"/>
      <x:c r="DG69" s="59"/>
      <x:c r="DH69" s="59"/>
      <x:c r="DI69" s="59"/>
      <x:c r="DJ69" s="59"/>
      <x:c r="DK69" s="59"/>
      <x:c r="DL69" s="59"/>
      <x:c r="DM69" s="59"/>
      <x:c r="DN69" s="59"/>
      <x:c r="DO69" s="59"/>
      <x:c r="DP69" s="59"/>
      <x:c r="DQ69" s="59"/>
      <x:c r="DR69" s="59"/>
      <x:c r="DS69" s="59"/>
      <x:c r="DT69" s="59"/>
      <x:c r="DU69" s="59"/>
      <x:c r="DV69" s="59"/>
      <x:c r="DW69" s="59"/>
      <x:c r="DX69" s="59"/>
      <x:c r="DY69" s="59"/>
      <x:c r="DZ69" s="59"/>
      <x:c r="EA69" s="59"/>
      <x:c r="EB69" s="59"/>
      <x:c r="EC69" s="59"/>
      <x:c r="ED69" s="59"/>
      <x:c r="EE69" s="59"/>
      <x:c r="EF69" s="59"/>
      <x:c r="EG69" s="59"/>
      <x:c r="EH69" s="59"/>
      <x:c r="EI69" s="59"/>
      <x:c r="EJ69" s="59"/>
      <x:c r="EK69" s="59"/>
      <x:c r="EL69" s="59"/>
      <x:c r="EM69" s="59"/>
      <x:c r="EN69" s="59"/>
      <x:c r="EO69" s="59"/>
      <x:c r="EP69" s="59"/>
      <x:c r="EQ69" s="59"/>
      <x:c r="ER69" s="59"/>
      <x:c r="ES69" s="59"/>
      <x:c r="ET69" s="59"/>
      <x:c r="EU69" s="59"/>
      <x:c r="EV69" s="59"/>
      <x:c r="EW69" s="59"/>
      <x:c r="EX69" s="59"/>
      <x:c r="EY69" s="59"/>
      <x:c r="EZ69" s="59"/>
      <x:c r="FA69" s="59"/>
      <x:c r="FB69" s="59"/>
      <x:c r="FC69" s="59"/>
      <x:c r="FD69" s="59"/>
      <x:c r="FE69" s="59"/>
      <x:c r="FF69" s="59"/>
      <x:c r="FG69" s="59"/>
      <x:c r="FH69" s="59"/>
      <x:c r="FI69" s="59"/>
      <x:c r="FJ69" s="59"/>
      <x:c r="FK69" s="59"/>
      <x:c r="FL69" s="59"/>
      <x:c r="FM69" s="59"/>
      <x:c r="FN69" s="59"/>
      <x:c r="FO69" s="59"/>
      <x:c r="FP69" s="59"/>
      <x:c r="FQ69" s="59"/>
      <x:c r="FR69" s="59"/>
      <x:c r="FS69" s="59"/>
      <x:c r="FT69" s="59"/>
      <x:c r="FU69" s="59"/>
      <x:c r="FV69" s="59"/>
      <x:c r="FW69" s="59"/>
      <x:c r="FX69" s="59"/>
      <x:c r="FY69" s="59"/>
      <x:c r="FZ69" s="59"/>
      <x:c r="GA69" s="59"/>
      <x:c r="GB69" s="59"/>
      <x:c r="GC69" s="59"/>
      <x:c r="GD69" s="59"/>
      <x:c r="GE69" s="59"/>
      <x:c r="GF69" s="59"/>
      <x:c r="GG69" s="59"/>
      <x:c r="GH69" s="59"/>
      <x:c r="GI69" s="59"/>
      <x:c r="GJ69" s="59"/>
      <x:c r="GK69" s="59"/>
      <x:c r="GL69" s="59"/>
      <x:c r="GM69" s="59"/>
      <x:c r="GN69" s="59"/>
      <x:c r="GO69" s="59"/>
      <x:c r="GP69" s="59"/>
      <x:c r="GQ69" s="59"/>
      <x:c r="GR69" s="59"/>
      <x:c r="GS69" s="59"/>
      <x:c r="GT69" s="59"/>
      <x:c r="GU69" s="59"/>
      <x:c r="GV69" s="59"/>
      <x:c r="GW69" s="59"/>
      <x:c r="GX69" s="59"/>
      <x:c r="GY69" s="59"/>
      <x:c r="GZ69" s="59"/>
      <x:c r="HA69" s="59"/>
      <x:c r="HB69" s="59"/>
      <x:c r="HC69" s="59"/>
      <x:c r="HD69" s="59"/>
      <x:c r="HE69" s="59"/>
      <x:c r="HF69" s="59"/>
      <x:c r="HG69" s="59"/>
      <x:c r="HH69" s="59"/>
      <x:c r="HI69" s="59"/>
      <x:c r="HJ69" s="59"/>
      <x:c r="HK69" s="59"/>
      <x:c r="HL69" s="59"/>
      <x:c r="HM69" s="59"/>
      <x:c r="HN69" s="59"/>
      <x:c r="HO69" s="59"/>
      <x:c r="HP69" s="59"/>
      <x:c r="HQ69" s="59"/>
      <x:c r="HR69" s="59"/>
      <x:c r="HS69" s="59"/>
      <x:c r="HT69" s="59"/>
      <x:c r="HU69" s="59"/>
      <x:c r="HV69" s="59"/>
      <x:c r="HW69" s="59"/>
      <x:c r="HX69" s="59"/>
      <x:c r="HY69" s="59"/>
      <x:c r="HZ69" s="59"/>
      <x:c r="IA69" s="59"/>
      <x:c r="IB69" s="59"/>
      <x:c r="IC69" s="59"/>
      <x:c r="ID69" s="59"/>
      <x:c r="IE69" s="59"/>
      <x:c r="IF69" s="59"/>
      <x:c r="IG69" s="59"/>
      <x:c r="IH69" s="59"/>
      <x:c r="II69" s="59"/>
      <x:c r="IJ69" s="59"/>
      <x:c r="IK69" s="59"/>
      <x:c r="IL69" s="59"/>
      <x:c r="IM69" s="59"/>
      <x:c r="IN69" s="59"/>
      <x:c r="IO69" s="59"/>
      <x:c r="IP69" s="59"/>
      <x:c r="IQ69" s="59"/>
      <x:c r="IR69" s="59"/>
      <x:c r="IS69" s="59"/>
      <x:c r="IT69" s="59"/>
      <x:c r="IU69" s="59"/>
      <x:c r="IV69" s="59"/>
      <x:c r="IW69" s="59"/>
      <x:c r="IX69" s="59"/>
      <x:c r="IY69" s="59"/>
      <x:c r="IZ69" s="59"/>
      <x:c r="JA69" s="59"/>
      <x:c r="JB69" s="59"/>
      <x:c r="JC69" s="59"/>
      <x:c r="JD69" s="59"/>
      <x:c r="JE69" s="59"/>
      <x:c r="JF69" s="59"/>
      <x:c r="JG69" s="59"/>
      <x:c r="JH69" s="59"/>
      <x:c r="JI69" s="59"/>
      <x:c r="JJ69" s="59"/>
      <x:c r="JK69" s="59"/>
      <x:c r="JL69" s="59"/>
      <x:c r="JM69" s="59"/>
      <x:c r="JN69" s="59"/>
      <x:c r="JO69" s="59"/>
      <x:c r="JP69" s="59"/>
      <x:c r="JQ69" s="59"/>
      <x:c r="JR69" s="59"/>
      <x:c r="JS69" s="59"/>
      <x:c r="JT69" s="59"/>
      <x:c r="JU69" s="59"/>
      <x:c r="JV69" s="59"/>
      <x:c r="JW69" s="59"/>
      <x:c r="JX69" s="59"/>
      <x:c r="JY69" s="59"/>
      <x:c r="JZ69" s="59"/>
      <x:c r="KA69" s="59"/>
      <x:c r="KB69" s="59"/>
      <x:c r="KC69" s="59"/>
      <x:c r="KD69" s="59"/>
      <x:c r="KE69" s="59"/>
      <x:c r="KF69" s="59"/>
      <x:c r="KG69" s="59"/>
      <x:c r="KH69" s="59"/>
      <x:c r="KI69" s="59"/>
      <x:c r="KJ69" s="59"/>
      <x:c r="KK69" s="59"/>
      <x:c r="KL69" s="59"/>
      <x:c r="KM69" s="59"/>
      <x:c r="KN69" s="59"/>
      <x:c r="KO69" s="59"/>
      <x:c r="KP69" s="59"/>
      <x:c r="KQ69" s="59"/>
      <x:c r="KR69" s="59"/>
      <x:c r="KS69" s="59"/>
      <x:c r="KT69" s="59"/>
      <x:c r="KU69" s="59"/>
      <x:c r="KV69" s="59"/>
      <x:c r="KW69" s="59"/>
      <x:c r="KX69" s="59"/>
      <x:c r="KY69" s="59"/>
      <x:c r="KZ69" s="59"/>
      <x:c r="LA69" s="59"/>
      <x:c r="LB69" s="59"/>
      <x:c r="LC69" s="59"/>
      <x:c r="LD69" s="59"/>
      <x:c r="LE69" s="59"/>
      <x:c r="LF69" s="59"/>
      <x:c r="LG69" s="59"/>
      <x:c r="LH69" s="59"/>
      <x:c r="LI69" s="59"/>
      <x:c r="LJ69" s="59"/>
      <x:c r="LK69" s="59"/>
      <x:c r="LL69" s="59"/>
      <x:c r="LM69" s="59"/>
      <x:c r="LN69" s="59"/>
      <x:c r="LO69" s="59"/>
      <x:c r="LP69" s="59"/>
      <x:c r="LQ69" s="59"/>
      <x:c r="LR69" s="59"/>
      <x:c r="LS69" s="59"/>
      <x:c r="LT69" s="59"/>
      <x:c r="LU69" s="59"/>
      <x:c r="LV69" s="59"/>
      <x:c r="LW69" s="59"/>
      <x:c r="LX69" s="59"/>
      <x:c r="LY69" s="59"/>
      <x:c r="LZ69" s="59"/>
      <x:c r="MA69" s="59"/>
      <x:c r="MB69" s="59"/>
      <x:c r="MC69" s="59"/>
      <x:c r="MD69" s="59"/>
      <x:c r="ME69" s="59"/>
      <x:c r="MF69" s="59"/>
      <x:c r="MG69" s="59"/>
      <x:c r="MH69" s="59"/>
      <x:c r="MI69" s="59"/>
      <x:c r="MJ69" s="59"/>
      <x:c r="MK69" s="59"/>
      <x:c r="ML69" s="59"/>
      <x:c r="MM69" s="59"/>
      <x:c r="MN69" s="59"/>
      <x:c r="MO69" s="59"/>
      <x:c r="MP69" s="59"/>
      <x:c r="MQ69" s="59"/>
      <x:c r="MR69" s="59"/>
      <x:c r="MS69" s="59"/>
      <x:c r="MT69" s="59"/>
      <x:c r="MU69" s="59"/>
      <x:c r="MV69" s="59"/>
      <x:c r="MW69" s="59"/>
      <x:c r="MX69" s="59"/>
      <x:c r="MY69" s="59"/>
      <x:c r="MZ69" s="59"/>
      <x:c r="NA69" s="59"/>
      <x:c r="NB69" s="59"/>
      <x:c r="NC69" s="59"/>
      <x:c r="ND69" s="59"/>
      <x:c r="NE69" s="59"/>
      <x:c r="NF69" s="59"/>
      <x:c r="NG69" s="59"/>
      <x:c r="NH69" s="59"/>
      <x:c r="NI69" s="59"/>
      <x:c r="NJ69" s="59"/>
      <x:c r="NK69" s="59"/>
      <x:c r="NL69" s="59"/>
      <x:c r="NM69" s="59"/>
      <x:c r="NN69" s="59"/>
      <x:c r="NO69" s="59"/>
      <x:c r="NP69" s="59"/>
      <x:c r="NQ69" s="59"/>
      <x:c r="NR69" s="59"/>
      <x:c r="NS69" s="59"/>
      <x:c r="NT69" s="59"/>
      <x:c r="NU69" s="59"/>
      <x:c r="NV69" s="59"/>
      <x:c r="NW69" s="59"/>
      <x:c r="NX69" s="59"/>
      <x:c r="NY69" s="59"/>
      <x:c r="NZ69" s="59"/>
      <x:c r="OA69" s="59"/>
      <x:c r="OB69" s="59"/>
      <x:c r="OC69" s="59"/>
      <x:c r="OD69" s="59"/>
      <x:c r="OE69" s="59"/>
      <x:c r="OF69" s="59"/>
      <x:c r="OG69" s="59"/>
      <x:c r="OH69" s="59"/>
      <x:c r="OI69" s="59"/>
      <x:c r="OJ69" s="59"/>
      <x:c r="OK69" s="59"/>
      <x:c r="OL69" s="59"/>
      <x:c r="OM69" s="59"/>
      <x:c r="ON69" s="59"/>
      <x:c r="OO69" s="59"/>
      <x:c r="OP69" s="59"/>
      <x:c r="OQ69" s="59"/>
      <x:c r="OR69" s="59"/>
      <x:c r="OS69" s="59"/>
      <x:c r="OT69" s="59"/>
      <x:c r="OU69" s="59"/>
      <x:c r="OV69" s="59"/>
      <x:c r="OW69" s="59"/>
      <x:c r="OX69" s="59"/>
      <x:c r="OY69" s="59"/>
      <x:c r="OZ69" s="59"/>
      <x:c r="PA69" s="59"/>
      <x:c r="PB69" s="59"/>
      <x:c r="PC69" s="59"/>
      <x:c r="PD69" s="59"/>
      <x:c r="PE69" s="59"/>
      <x:c r="PF69" s="59"/>
      <x:c r="PG69" s="59"/>
      <x:c r="PH69" s="59"/>
      <x:c r="PI69" s="59"/>
      <x:c r="PJ69" s="59"/>
      <x:c r="PK69" s="59"/>
      <x:c r="PL69" s="59"/>
      <x:c r="PM69" s="59"/>
      <x:c r="PN69" s="59"/>
      <x:c r="PO69" s="59"/>
      <x:c r="PP69" s="59"/>
      <x:c r="PQ69" s="59"/>
      <x:c r="PR69" s="59"/>
      <x:c r="PS69" s="59"/>
      <x:c r="PT69" s="59"/>
      <x:c r="PU69" s="59"/>
      <x:c r="PV69" s="59"/>
      <x:c r="PW69" s="59"/>
      <x:c r="PX69" s="59"/>
      <x:c r="PY69" s="59"/>
      <x:c r="PZ69" s="59"/>
      <x:c r="QA69" s="59"/>
      <x:c r="QB69" s="59"/>
      <x:c r="QC69" s="59"/>
      <x:c r="QD69" s="59"/>
      <x:c r="QE69" s="59"/>
      <x:c r="QF69" s="59"/>
      <x:c r="QG69" s="59"/>
      <x:c r="QH69" s="59"/>
      <x:c r="QI69" s="59"/>
      <x:c r="QJ69" s="59"/>
      <x:c r="QK69" s="59"/>
      <x:c r="QL69" s="59"/>
      <x:c r="QM69" s="59"/>
      <x:c r="QN69" s="59"/>
      <x:c r="QO69" s="59"/>
      <x:c r="QP69" s="59"/>
      <x:c r="QQ69" s="59"/>
      <x:c r="QR69" s="59"/>
      <x:c r="QS69" s="59"/>
      <x:c r="QT69" s="59"/>
      <x:c r="QU69" s="59"/>
      <x:c r="QV69" s="59"/>
      <x:c r="QW69" s="59"/>
      <x:c r="QX69" s="59"/>
      <x:c r="QY69" s="59"/>
      <x:c r="QZ69" s="59"/>
      <x:c r="RA69" s="59"/>
      <x:c r="RB69" s="59"/>
      <x:c r="RC69" s="59"/>
      <x:c r="RD69" s="59"/>
      <x:c r="RE69" s="59"/>
      <x:c r="RF69" s="59"/>
      <x:c r="RG69" s="59"/>
      <x:c r="RH69" s="59"/>
      <x:c r="RI69" s="59"/>
      <x:c r="RJ69" s="59"/>
      <x:c r="RK69" s="59"/>
      <x:c r="RL69" s="59"/>
      <x:c r="RM69" s="59"/>
      <x:c r="RN69" s="59"/>
      <x:c r="RO69" s="59"/>
      <x:c r="RP69" s="59"/>
      <x:c r="RQ69" s="59"/>
      <x:c r="RR69" s="59"/>
      <x:c r="RS69" s="59"/>
      <x:c r="RT69" s="59"/>
      <x:c r="RU69" s="59"/>
      <x:c r="RV69" s="59"/>
      <x:c r="RW69" s="59"/>
      <x:c r="RX69" s="59"/>
      <x:c r="RY69" s="59"/>
      <x:c r="RZ69" s="59"/>
      <x:c r="SA69" s="59"/>
      <x:c r="SB69" s="59"/>
      <x:c r="SC69" s="59"/>
      <x:c r="SD69" s="59"/>
      <x:c r="SE69" s="59"/>
      <x:c r="SF69" s="59"/>
    </x:row>
    <x:row r="70">
      <x:c r="A70" s="60">
        <x:v>3</x:v>
      </x:c>
      <x:c r="B70" s="63" t="s">
        <x:v>11</x:v>
      </x:c>
      <x:c r="C70" s="63"/>
      <x:c r="D70" s="63" t="s">
        <x:v>103</x:v>
      </x:c>
      <x:c r="E70" s="63"/>
      <x:c r="F70" s="63" t="s">
        <x:v>133</x:v>
      </x:c>
      <x:c r="G70" s="63"/>
      <x:c r="H70" s="63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  <x:c r="AA70" s="59"/>
      <x:c r="AB70" s="59"/>
      <x:c r="AC70" s="59"/>
      <x:c r="AD70" s="59"/>
      <x:c r="AE70" s="59"/>
      <x:c r="AF70" s="59"/>
      <x:c r="AG70" s="59"/>
      <x:c r="AH70" s="59"/>
      <x:c r="AI70" s="59"/>
      <x:c r="AJ70" s="59"/>
      <x:c r="AK70" s="59"/>
      <x:c r="AL70" s="59"/>
      <x:c r="AM70" s="59"/>
      <x:c r="AN70" s="59"/>
      <x:c r="AO70" s="59"/>
      <x:c r="AP70" s="59"/>
      <x:c r="AQ70" s="59"/>
      <x:c r="AR70" s="59"/>
      <x:c r="AS70" s="59"/>
      <x:c r="AT70" s="59"/>
      <x:c r="AU70" s="59"/>
      <x:c r="AV70" s="59"/>
      <x:c r="AW70" s="59"/>
      <x:c r="AX70" s="59"/>
      <x:c r="AY70" s="59"/>
      <x:c r="AZ70" s="59"/>
      <x:c r="BA70" s="59"/>
      <x:c r="BB70" s="59"/>
      <x:c r="BC70" s="59"/>
      <x:c r="BD70" s="59"/>
      <x:c r="BE70" s="59"/>
      <x:c r="BF70" s="59"/>
      <x:c r="BG70" s="59"/>
      <x:c r="BH70" s="59"/>
      <x:c r="BI70" s="59"/>
      <x:c r="BJ70" s="59"/>
      <x:c r="BK70" s="59"/>
      <x:c r="BL70" s="59"/>
      <x:c r="BM70" s="59"/>
      <x:c r="BN70" s="59"/>
      <x:c r="BO70" s="59"/>
      <x:c r="BP70" s="59"/>
      <x:c r="BQ70" s="59"/>
      <x:c r="BR70" s="59"/>
      <x:c r="BS70" s="59"/>
      <x:c r="BT70" s="59"/>
      <x:c r="BU70" s="59"/>
      <x:c r="BV70" s="59"/>
      <x:c r="BW70" s="59"/>
      <x:c r="BX70" s="59"/>
      <x:c r="BY70" s="59"/>
      <x:c r="BZ70" s="59"/>
      <x:c r="CA70" s="59"/>
      <x:c r="CB70" s="59"/>
      <x:c r="CC70" s="59"/>
      <x:c r="CD70" s="59"/>
      <x:c r="CE70" s="59"/>
      <x:c r="CF70" s="59"/>
      <x:c r="CG70" s="59"/>
      <x:c r="CH70" s="59"/>
      <x:c r="CI70" s="59"/>
      <x:c r="CJ70" s="59"/>
      <x:c r="CK70" s="59"/>
      <x:c r="CL70" s="59"/>
      <x:c r="CM70" s="59"/>
      <x:c r="CN70" s="59"/>
      <x:c r="CO70" s="59"/>
      <x:c r="CP70" s="59"/>
      <x:c r="CQ70" s="59"/>
      <x:c r="CR70" s="59"/>
      <x:c r="CS70" s="59"/>
      <x:c r="CT70" s="59"/>
      <x:c r="CU70" s="59"/>
      <x:c r="CV70" s="59"/>
      <x:c r="CW70" s="59"/>
      <x:c r="CX70" s="59"/>
      <x:c r="CY70" s="59"/>
      <x:c r="CZ70" s="59"/>
      <x:c r="DA70" s="59"/>
      <x:c r="DB70" s="59"/>
      <x:c r="DC70" s="59"/>
      <x:c r="DD70" s="59"/>
      <x:c r="DE70" s="59"/>
      <x:c r="DF70" s="59"/>
      <x:c r="DG70" s="59"/>
      <x:c r="DH70" s="59"/>
      <x:c r="DI70" s="59"/>
      <x:c r="DJ70" s="59"/>
      <x:c r="DK70" s="59"/>
      <x:c r="DL70" s="59"/>
      <x:c r="DM70" s="59"/>
      <x:c r="DN70" s="59"/>
      <x:c r="DO70" s="59"/>
      <x:c r="DP70" s="59"/>
      <x:c r="DQ70" s="59"/>
      <x:c r="DR70" s="59"/>
      <x:c r="DS70" s="59"/>
      <x:c r="DT70" s="59"/>
      <x:c r="DU70" s="59"/>
      <x:c r="DV70" s="59"/>
      <x:c r="DW70" s="59"/>
      <x:c r="DX70" s="59"/>
      <x:c r="DY70" s="59"/>
      <x:c r="DZ70" s="59"/>
      <x:c r="EA70" s="59"/>
      <x:c r="EB70" s="59"/>
      <x:c r="EC70" s="59"/>
      <x:c r="ED70" s="59"/>
      <x:c r="EE70" s="59"/>
      <x:c r="EF70" s="59"/>
      <x:c r="EG70" s="59"/>
      <x:c r="EH70" s="59"/>
      <x:c r="EI70" s="59"/>
      <x:c r="EJ70" s="59"/>
      <x:c r="EK70" s="59"/>
      <x:c r="EL70" s="59"/>
      <x:c r="EM70" s="59"/>
      <x:c r="EN70" s="59"/>
      <x:c r="EO70" s="59"/>
      <x:c r="EP70" s="59"/>
      <x:c r="EQ70" s="59"/>
      <x:c r="ER70" s="59"/>
      <x:c r="ES70" s="59"/>
      <x:c r="ET70" s="59"/>
      <x:c r="EU70" s="59"/>
      <x:c r="EV70" s="59"/>
      <x:c r="EW70" s="59"/>
      <x:c r="EX70" s="59"/>
      <x:c r="EY70" s="59"/>
      <x:c r="EZ70" s="59"/>
      <x:c r="FA70" s="59"/>
      <x:c r="FB70" s="59"/>
      <x:c r="FC70" s="59"/>
      <x:c r="FD70" s="59"/>
      <x:c r="FE70" s="59"/>
      <x:c r="FF70" s="59"/>
      <x:c r="FG70" s="59"/>
      <x:c r="FH70" s="59"/>
      <x:c r="FI70" s="59"/>
      <x:c r="FJ70" s="59"/>
      <x:c r="FK70" s="59"/>
      <x:c r="FL70" s="59"/>
      <x:c r="FM70" s="59"/>
      <x:c r="FN70" s="59"/>
      <x:c r="FO70" s="59"/>
      <x:c r="FP70" s="59"/>
      <x:c r="FQ70" s="59"/>
      <x:c r="FR70" s="59"/>
      <x:c r="FS70" s="59"/>
      <x:c r="FT70" s="59"/>
      <x:c r="FU70" s="59"/>
      <x:c r="FV70" s="59"/>
      <x:c r="FW70" s="59"/>
      <x:c r="FX70" s="59"/>
      <x:c r="FY70" s="59"/>
      <x:c r="FZ70" s="59"/>
      <x:c r="GA70" s="59"/>
      <x:c r="GB70" s="59"/>
      <x:c r="GC70" s="59"/>
      <x:c r="GD70" s="59"/>
      <x:c r="GE70" s="59"/>
      <x:c r="GF70" s="59"/>
      <x:c r="GG70" s="59"/>
      <x:c r="GH70" s="59"/>
      <x:c r="GI70" s="59"/>
      <x:c r="GJ70" s="59"/>
      <x:c r="GK70" s="59"/>
      <x:c r="GL70" s="59"/>
      <x:c r="GM70" s="59"/>
      <x:c r="GN70" s="59"/>
      <x:c r="GO70" s="59"/>
      <x:c r="GP70" s="59"/>
      <x:c r="GQ70" s="59"/>
      <x:c r="GR70" s="59"/>
      <x:c r="GS70" s="59"/>
      <x:c r="GT70" s="59"/>
      <x:c r="GU70" s="59"/>
      <x:c r="GV70" s="59"/>
      <x:c r="GW70" s="59"/>
      <x:c r="GX70" s="59"/>
      <x:c r="GY70" s="59"/>
      <x:c r="GZ70" s="59"/>
      <x:c r="HA70" s="59"/>
      <x:c r="HB70" s="59"/>
      <x:c r="HC70" s="59"/>
      <x:c r="HD70" s="59"/>
      <x:c r="HE70" s="59"/>
      <x:c r="HF70" s="59"/>
      <x:c r="HG70" s="59"/>
      <x:c r="HH70" s="59"/>
      <x:c r="HI70" s="59"/>
      <x:c r="HJ70" s="59"/>
      <x:c r="HK70" s="59"/>
      <x:c r="HL70" s="59"/>
      <x:c r="HM70" s="59"/>
      <x:c r="HN70" s="59"/>
      <x:c r="HO70" s="59"/>
      <x:c r="HP70" s="59"/>
      <x:c r="HQ70" s="59"/>
      <x:c r="HR70" s="59"/>
      <x:c r="HS70" s="59"/>
      <x:c r="HT70" s="59"/>
      <x:c r="HU70" s="59"/>
      <x:c r="HV70" s="59"/>
      <x:c r="HW70" s="59"/>
      <x:c r="HX70" s="59"/>
      <x:c r="HY70" s="59"/>
      <x:c r="HZ70" s="59"/>
      <x:c r="IA70" s="59"/>
      <x:c r="IB70" s="59"/>
      <x:c r="IC70" s="59"/>
      <x:c r="ID70" s="59"/>
      <x:c r="IE70" s="59"/>
      <x:c r="IF70" s="59"/>
      <x:c r="IG70" s="59"/>
      <x:c r="IH70" s="59"/>
      <x:c r="II70" s="59"/>
      <x:c r="IJ70" s="59"/>
      <x:c r="IK70" s="59"/>
      <x:c r="IL70" s="59"/>
      <x:c r="IM70" s="59"/>
      <x:c r="IN70" s="59"/>
      <x:c r="IO70" s="59"/>
      <x:c r="IP70" s="59"/>
      <x:c r="IQ70" s="59"/>
      <x:c r="IR70" s="59"/>
      <x:c r="IS70" s="59"/>
      <x:c r="IT70" s="59"/>
      <x:c r="IU70" s="59"/>
      <x:c r="IV70" s="59"/>
      <x:c r="IW70" s="59"/>
      <x:c r="IX70" s="59"/>
      <x:c r="IY70" s="59"/>
      <x:c r="IZ70" s="59"/>
      <x:c r="JA70" s="59"/>
      <x:c r="JB70" s="59"/>
      <x:c r="JC70" s="59"/>
      <x:c r="JD70" s="59"/>
      <x:c r="JE70" s="59"/>
      <x:c r="JF70" s="59"/>
      <x:c r="JG70" s="59"/>
      <x:c r="JH70" s="59"/>
      <x:c r="JI70" s="59"/>
      <x:c r="JJ70" s="59"/>
      <x:c r="JK70" s="59"/>
      <x:c r="JL70" s="59"/>
      <x:c r="JM70" s="59"/>
      <x:c r="JN70" s="59"/>
      <x:c r="JO70" s="59"/>
      <x:c r="JP70" s="59"/>
      <x:c r="JQ70" s="59"/>
      <x:c r="JR70" s="59"/>
      <x:c r="JS70" s="59"/>
      <x:c r="JT70" s="59"/>
      <x:c r="JU70" s="59"/>
      <x:c r="JV70" s="59"/>
      <x:c r="JW70" s="59"/>
      <x:c r="JX70" s="59"/>
      <x:c r="JY70" s="59"/>
      <x:c r="JZ70" s="59"/>
      <x:c r="KA70" s="59"/>
      <x:c r="KB70" s="59"/>
      <x:c r="KC70" s="59"/>
      <x:c r="KD70" s="59"/>
      <x:c r="KE70" s="59"/>
      <x:c r="KF70" s="59"/>
      <x:c r="KG70" s="59"/>
      <x:c r="KH70" s="59"/>
      <x:c r="KI70" s="59"/>
      <x:c r="KJ70" s="59"/>
      <x:c r="KK70" s="59"/>
      <x:c r="KL70" s="59"/>
      <x:c r="KM70" s="59"/>
      <x:c r="KN70" s="59"/>
      <x:c r="KO70" s="59"/>
      <x:c r="KP70" s="59"/>
      <x:c r="KQ70" s="59"/>
      <x:c r="KR70" s="59"/>
      <x:c r="KS70" s="59"/>
      <x:c r="KT70" s="59"/>
      <x:c r="KU70" s="59"/>
      <x:c r="KV70" s="59"/>
      <x:c r="KW70" s="59"/>
      <x:c r="KX70" s="59"/>
      <x:c r="KY70" s="59"/>
      <x:c r="KZ70" s="59"/>
      <x:c r="LA70" s="59"/>
      <x:c r="LB70" s="59"/>
      <x:c r="LC70" s="59"/>
      <x:c r="LD70" s="59"/>
      <x:c r="LE70" s="59"/>
      <x:c r="LF70" s="59"/>
      <x:c r="LG70" s="59"/>
      <x:c r="LH70" s="59"/>
      <x:c r="LI70" s="59"/>
      <x:c r="LJ70" s="59"/>
      <x:c r="LK70" s="59"/>
      <x:c r="LL70" s="59"/>
      <x:c r="LM70" s="59"/>
      <x:c r="LN70" s="59"/>
      <x:c r="LO70" s="59"/>
      <x:c r="LP70" s="59"/>
      <x:c r="LQ70" s="59"/>
      <x:c r="LR70" s="59"/>
      <x:c r="LS70" s="59"/>
      <x:c r="LT70" s="59"/>
      <x:c r="LU70" s="59"/>
      <x:c r="LV70" s="59"/>
      <x:c r="LW70" s="59"/>
      <x:c r="LX70" s="59"/>
      <x:c r="LY70" s="59"/>
      <x:c r="LZ70" s="59"/>
      <x:c r="MA70" s="59"/>
      <x:c r="MB70" s="59"/>
      <x:c r="MC70" s="59"/>
      <x:c r="MD70" s="59"/>
      <x:c r="ME70" s="59"/>
      <x:c r="MF70" s="59"/>
      <x:c r="MG70" s="59"/>
      <x:c r="MH70" s="59"/>
      <x:c r="MI70" s="59"/>
      <x:c r="MJ70" s="59"/>
      <x:c r="MK70" s="59"/>
      <x:c r="ML70" s="59"/>
      <x:c r="MM70" s="59"/>
      <x:c r="MN70" s="59"/>
      <x:c r="MO70" s="59"/>
      <x:c r="MP70" s="59"/>
      <x:c r="MQ70" s="59"/>
      <x:c r="MR70" s="59"/>
      <x:c r="MS70" s="59"/>
      <x:c r="MT70" s="59"/>
      <x:c r="MU70" s="59"/>
      <x:c r="MV70" s="59"/>
      <x:c r="MW70" s="59"/>
      <x:c r="MX70" s="59"/>
      <x:c r="MY70" s="59"/>
      <x:c r="MZ70" s="59"/>
      <x:c r="NA70" s="59"/>
      <x:c r="NB70" s="59"/>
      <x:c r="NC70" s="59"/>
      <x:c r="ND70" s="59"/>
      <x:c r="NE70" s="59"/>
      <x:c r="NF70" s="59"/>
      <x:c r="NG70" s="59"/>
      <x:c r="NH70" s="59"/>
      <x:c r="NI70" s="59"/>
      <x:c r="NJ70" s="59"/>
      <x:c r="NK70" s="59"/>
      <x:c r="NL70" s="59"/>
      <x:c r="NM70" s="59"/>
      <x:c r="NN70" s="59"/>
      <x:c r="NO70" s="59"/>
      <x:c r="NP70" s="59"/>
      <x:c r="NQ70" s="59"/>
      <x:c r="NR70" s="59"/>
      <x:c r="NS70" s="59"/>
      <x:c r="NT70" s="59"/>
      <x:c r="NU70" s="59"/>
      <x:c r="NV70" s="59"/>
      <x:c r="NW70" s="59"/>
      <x:c r="NX70" s="59"/>
      <x:c r="NY70" s="59"/>
      <x:c r="NZ70" s="59"/>
      <x:c r="OA70" s="59"/>
      <x:c r="OB70" s="59"/>
      <x:c r="OC70" s="59"/>
      <x:c r="OD70" s="59"/>
      <x:c r="OE70" s="59"/>
      <x:c r="OF70" s="59"/>
      <x:c r="OG70" s="59"/>
      <x:c r="OH70" s="59"/>
      <x:c r="OI70" s="59"/>
      <x:c r="OJ70" s="59"/>
      <x:c r="OK70" s="59"/>
      <x:c r="OL70" s="59"/>
      <x:c r="OM70" s="59"/>
      <x:c r="ON70" s="59"/>
      <x:c r="OO70" s="59"/>
      <x:c r="OP70" s="59"/>
      <x:c r="OQ70" s="59"/>
      <x:c r="OR70" s="59"/>
      <x:c r="OS70" s="59"/>
      <x:c r="OT70" s="59"/>
      <x:c r="OU70" s="59"/>
      <x:c r="OV70" s="59"/>
      <x:c r="OW70" s="59"/>
      <x:c r="OX70" s="59"/>
      <x:c r="OY70" s="59"/>
      <x:c r="OZ70" s="59"/>
      <x:c r="PA70" s="59"/>
      <x:c r="PB70" s="59"/>
      <x:c r="PC70" s="59"/>
      <x:c r="PD70" s="59"/>
      <x:c r="PE70" s="59"/>
      <x:c r="PF70" s="59"/>
      <x:c r="PG70" s="59"/>
      <x:c r="PH70" s="59"/>
      <x:c r="PI70" s="59"/>
      <x:c r="PJ70" s="59"/>
      <x:c r="PK70" s="59"/>
      <x:c r="PL70" s="59"/>
      <x:c r="PM70" s="59"/>
      <x:c r="PN70" s="59"/>
      <x:c r="PO70" s="59"/>
      <x:c r="PP70" s="59"/>
      <x:c r="PQ70" s="59"/>
      <x:c r="PR70" s="59"/>
      <x:c r="PS70" s="59"/>
      <x:c r="PT70" s="59"/>
      <x:c r="PU70" s="59"/>
      <x:c r="PV70" s="59"/>
      <x:c r="PW70" s="59"/>
      <x:c r="PX70" s="59"/>
      <x:c r="PY70" s="59"/>
      <x:c r="PZ70" s="59"/>
      <x:c r="QA70" s="59"/>
      <x:c r="QB70" s="59"/>
      <x:c r="QC70" s="59"/>
      <x:c r="QD70" s="59"/>
      <x:c r="QE70" s="59"/>
      <x:c r="QF70" s="59"/>
      <x:c r="QG70" s="59"/>
      <x:c r="QH70" s="59"/>
      <x:c r="QI70" s="59"/>
      <x:c r="QJ70" s="59"/>
      <x:c r="QK70" s="59"/>
      <x:c r="QL70" s="59"/>
      <x:c r="QM70" s="59"/>
      <x:c r="QN70" s="59"/>
      <x:c r="QO70" s="59"/>
      <x:c r="QP70" s="59"/>
      <x:c r="QQ70" s="59"/>
      <x:c r="QR70" s="59"/>
      <x:c r="QS70" s="59"/>
      <x:c r="QT70" s="59"/>
      <x:c r="QU70" s="59"/>
      <x:c r="QV70" s="59"/>
      <x:c r="QW70" s="59"/>
      <x:c r="QX70" s="59"/>
      <x:c r="QY70" s="59"/>
      <x:c r="QZ70" s="59"/>
      <x:c r="RA70" s="59"/>
      <x:c r="RB70" s="59"/>
      <x:c r="RC70" s="59"/>
      <x:c r="RD70" s="59"/>
      <x:c r="RE70" s="59"/>
      <x:c r="RF70" s="59"/>
      <x:c r="RG70" s="59"/>
      <x:c r="RH70" s="59"/>
      <x:c r="RI70" s="59"/>
      <x:c r="RJ70" s="59"/>
      <x:c r="RK70" s="59"/>
      <x:c r="RL70" s="59"/>
      <x:c r="RM70" s="59"/>
      <x:c r="RN70" s="59"/>
      <x:c r="RO70" s="59"/>
      <x:c r="RP70" s="59"/>
      <x:c r="RQ70" s="59"/>
      <x:c r="RR70" s="59"/>
      <x:c r="RS70" s="59"/>
      <x:c r="RT70" s="59"/>
      <x:c r="RU70" s="59"/>
      <x:c r="RV70" s="59"/>
      <x:c r="RW70" s="59"/>
      <x:c r="RX70" s="59"/>
      <x:c r="RY70" s="59"/>
      <x:c r="RZ70" s="59"/>
      <x:c r="SA70" s="59"/>
      <x:c r="SB70" s="59"/>
      <x:c r="SC70" s="59"/>
      <x:c r="SD70" s="59"/>
      <x:c r="SE70" s="59"/>
      <x:c r="SF70" s="59"/>
    </x:row>
    <x:row r="71">
      <x:c r="A71" s="60">
        <x:v>4</x:v>
      </x:c>
      <x:c r="B71" s="63" t="s">
        <x:v>11</x:v>
      </x:c>
      <x:c r="C71" s="63"/>
      <x:c r="D71" s="63" t="s">
        <x:v>134</x:v>
      </x:c>
      <x:c r="E71" s="63"/>
      <x:c r="F71" s="63" t="s">
        <x:v>135</x:v>
      </x:c>
      <x:c r="G71" s="63"/>
      <x:c r="H71" s="63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  <x:c r="AA71" s="59"/>
      <x:c r="AB71" s="59"/>
      <x:c r="AC71" s="59"/>
      <x:c r="AD71" s="59"/>
      <x:c r="AE71" s="59"/>
      <x:c r="AF71" s="59"/>
      <x:c r="AG71" s="59"/>
      <x:c r="AH71" s="59"/>
      <x:c r="AI71" s="59"/>
      <x:c r="AJ71" s="59"/>
      <x:c r="AK71" s="59"/>
      <x:c r="AL71" s="59"/>
      <x:c r="AM71" s="59"/>
      <x:c r="AN71" s="59"/>
      <x:c r="AO71" s="59"/>
      <x:c r="AP71" s="59"/>
      <x:c r="AQ71" s="59"/>
      <x:c r="AR71" s="59"/>
      <x:c r="AS71" s="59"/>
      <x:c r="AT71" s="59"/>
      <x:c r="AU71" s="59"/>
      <x:c r="AV71" s="59"/>
      <x:c r="AW71" s="59"/>
      <x:c r="AX71" s="59"/>
      <x:c r="AY71" s="59"/>
      <x:c r="AZ71" s="59"/>
      <x:c r="BA71" s="59"/>
      <x:c r="BB71" s="59"/>
      <x:c r="BC71" s="59"/>
      <x:c r="BD71" s="59"/>
      <x:c r="BE71" s="59"/>
      <x:c r="BF71" s="59"/>
      <x:c r="BG71" s="59"/>
      <x:c r="BH71" s="59"/>
      <x:c r="BI71" s="59"/>
      <x:c r="BJ71" s="59"/>
      <x:c r="BK71" s="59"/>
      <x:c r="BL71" s="59"/>
      <x:c r="BM71" s="59"/>
      <x:c r="BN71" s="59"/>
      <x:c r="BO71" s="59"/>
      <x:c r="BP71" s="59"/>
      <x:c r="BQ71" s="59"/>
      <x:c r="BR71" s="59"/>
      <x:c r="BS71" s="59"/>
      <x:c r="BT71" s="59"/>
      <x:c r="BU71" s="59"/>
      <x:c r="BV71" s="59"/>
      <x:c r="BW71" s="59"/>
      <x:c r="BX71" s="59"/>
      <x:c r="BY71" s="59"/>
      <x:c r="BZ71" s="59"/>
      <x:c r="CA71" s="59"/>
      <x:c r="CB71" s="59"/>
      <x:c r="CC71" s="59"/>
      <x:c r="CD71" s="59"/>
      <x:c r="CE71" s="59"/>
      <x:c r="CF71" s="59"/>
      <x:c r="CG71" s="59"/>
      <x:c r="CH71" s="59"/>
      <x:c r="CI71" s="59"/>
      <x:c r="CJ71" s="59"/>
      <x:c r="CK71" s="59"/>
      <x:c r="CL71" s="59"/>
      <x:c r="CM71" s="59"/>
      <x:c r="CN71" s="59"/>
      <x:c r="CO71" s="59"/>
      <x:c r="CP71" s="59"/>
      <x:c r="CQ71" s="59"/>
      <x:c r="CR71" s="59"/>
      <x:c r="CS71" s="59"/>
      <x:c r="CT71" s="59"/>
      <x:c r="CU71" s="59"/>
      <x:c r="CV71" s="59"/>
      <x:c r="CW71" s="59"/>
      <x:c r="CX71" s="59"/>
      <x:c r="CY71" s="59"/>
      <x:c r="CZ71" s="59"/>
      <x:c r="DA71" s="59"/>
      <x:c r="DB71" s="59"/>
      <x:c r="DC71" s="59"/>
      <x:c r="DD71" s="59"/>
      <x:c r="DE71" s="59"/>
      <x:c r="DF71" s="59"/>
      <x:c r="DG71" s="59"/>
      <x:c r="DH71" s="59"/>
      <x:c r="DI71" s="59"/>
      <x:c r="DJ71" s="59"/>
      <x:c r="DK71" s="59"/>
      <x:c r="DL71" s="59"/>
      <x:c r="DM71" s="59"/>
      <x:c r="DN71" s="59"/>
      <x:c r="DO71" s="59"/>
      <x:c r="DP71" s="59"/>
      <x:c r="DQ71" s="59"/>
      <x:c r="DR71" s="59"/>
      <x:c r="DS71" s="59"/>
      <x:c r="DT71" s="59"/>
      <x:c r="DU71" s="59"/>
      <x:c r="DV71" s="59"/>
      <x:c r="DW71" s="59"/>
      <x:c r="DX71" s="59"/>
      <x:c r="DY71" s="59"/>
      <x:c r="DZ71" s="59"/>
      <x:c r="EA71" s="59"/>
      <x:c r="EB71" s="59"/>
      <x:c r="EC71" s="59"/>
      <x:c r="ED71" s="59"/>
      <x:c r="EE71" s="59"/>
      <x:c r="EF71" s="59"/>
      <x:c r="EG71" s="59"/>
      <x:c r="EH71" s="59"/>
      <x:c r="EI71" s="59"/>
      <x:c r="EJ71" s="59"/>
      <x:c r="EK71" s="59"/>
      <x:c r="EL71" s="59"/>
      <x:c r="EM71" s="59"/>
      <x:c r="EN71" s="59"/>
      <x:c r="EO71" s="59"/>
      <x:c r="EP71" s="59"/>
      <x:c r="EQ71" s="59"/>
      <x:c r="ER71" s="59"/>
      <x:c r="ES71" s="59"/>
      <x:c r="ET71" s="59"/>
      <x:c r="EU71" s="59"/>
      <x:c r="EV71" s="59"/>
      <x:c r="EW71" s="59"/>
      <x:c r="EX71" s="59"/>
      <x:c r="EY71" s="59"/>
      <x:c r="EZ71" s="59"/>
      <x:c r="FA71" s="59"/>
      <x:c r="FB71" s="59"/>
      <x:c r="FC71" s="59"/>
      <x:c r="FD71" s="59"/>
      <x:c r="FE71" s="59"/>
      <x:c r="FF71" s="59"/>
      <x:c r="FG71" s="59"/>
      <x:c r="FH71" s="59"/>
      <x:c r="FI71" s="59"/>
      <x:c r="FJ71" s="59"/>
      <x:c r="FK71" s="59"/>
      <x:c r="FL71" s="59"/>
      <x:c r="FM71" s="59"/>
      <x:c r="FN71" s="59"/>
      <x:c r="FO71" s="59"/>
      <x:c r="FP71" s="59"/>
      <x:c r="FQ71" s="59"/>
      <x:c r="FR71" s="59"/>
      <x:c r="FS71" s="59"/>
      <x:c r="FT71" s="59"/>
      <x:c r="FU71" s="59"/>
      <x:c r="FV71" s="59"/>
      <x:c r="FW71" s="59"/>
      <x:c r="FX71" s="59"/>
      <x:c r="FY71" s="59"/>
      <x:c r="FZ71" s="59"/>
      <x:c r="GA71" s="59"/>
      <x:c r="GB71" s="59"/>
      <x:c r="GC71" s="59"/>
      <x:c r="GD71" s="59"/>
      <x:c r="GE71" s="59"/>
      <x:c r="GF71" s="59"/>
      <x:c r="GG71" s="59"/>
      <x:c r="GH71" s="59"/>
      <x:c r="GI71" s="59"/>
      <x:c r="GJ71" s="59"/>
      <x:c r="GK71" s="59"/>
      <x:c r="GL71" s="59"/>
      <x:c r="GM71" s="59"/>
      <x:c r="GN71" s="59"/>
      <x:c r="GO71" s="59"/>
      <x:c r="GP71" s="59"/>
      <x:c r="GQ71" s="59"/>
      <x:c r="GR71" s="59"/>
      <x:c r="GS71" s="59"/>
      <x:c r="GT71" s="59"/>
      <x:c r="GU71" s="59"/>
      <x:c r="GV71" s="59"/>
      <x:c r="GW71" s="59"/>
      <x:c r="GX71" s="59"/>
      <x:c r="GY71" s="59"/>
      <x:c r="GZ71" s="59"/>
      <x:c r="HA71" s="59"/>
      <x:c r="HB71" s="59"/>
      <x:c r="HC71" s="59"/>
      <x:c r="HD71" s="59"/>
      <x:c r="HE71" s="59"/>
      <x:c r="HF71" s="59"/>
      <x:c r="HG71" s="59"/>
      <x:c r="HH71" s="59"/>
      <x:c r="HI71" s="59"/>
      <x:c r="HJ71" s="59"/>
      <x:c r="HK71" s="59"/>
      <x:c r="HL71" s="59"/>
      <x:c r="HM71" s="59"/>
      <x:c r="HN71" s="59"/>
      <x:c r="HO71" s="59"/>
      <x:c r="HP71" s="59"/>
      <x:c r="HQ71" s="59"/>
      <x:c r="HR71" s="59"/>
      <x:c r="HS71" s="59"/>
      <x:c r="HT71" s="59"/>
      <x:c r="HU71" s="59"/>
      <x:c r="HV71" s="59"/>
      <x:c r="HW71" s="59"/>
      <x:c r="HX71" s="59"/>
      <x:c r="HY71" s="59"/>
      <x:c r="HZ71" s="59"/>
      <x:c r="IA71" s="59"/>
      <x:c r="IB71" s="59"/>
      <x:c r="IC71" s="59"/>
      <x:c r="ID71" s="59"/>
      <x:c r="IE71" s="59"/>
      <x:c r="IF71" s="59"/>
      <x:c r="IG71" s="59"/>
      <x:c r="IH71" s="59"/>
      <x:c r="II71" s="59"/>
      <x:c r="IJ71" s="59"/>
      <x:c r="IK71" s="59"/>
      <x:c r="IL71" s="59"/>
      <x:c r="IM71" s="59"/>
      <x:c r="IN71" s="59"/>
      <x:c r="IO71" s="59"/>
      <x:c r="IP71" s="59"/>
      <x:c r="IQ71" s="59"/>
      <x:c r="IR71" s="59"/>
      <x:c r="IS71" s="59"/>
      <x:c r="IT71" s="59"/>
      <x:c r="IU71" s="59"/>
      <x:c r="IV71" s="59"/>
      <x:c r="IW71" s="59"/>
      <x:c r="IX71" s="59"/>
      <x:c r="IY71" s="59"/>
      <x:c r="IZ71" s="59"/>
      <x:c r="JA71" s="59"/>
      <x:c r="JB71" s="59"/>
      <x:c r="JC71" s="59"/>
      <x:c r="JD71" s="59"/>
      <x:c r="JE71" s="59"/>
      <x:c r="JF71" s="59"/>
      <x:c r="JG71" s="59"/>
      <x:c r="JH71" s="59"/>
      <x:c r="JI71" s="59"/>
      <x:c r="JJ71" s="59"/>
      <x:c r="JK71" s="59"/>
      <x:c r="JL71" s="59"/>
      <x:c r="JM71" s="59"/>
      <x:c r="JN71" s="59"/>
      <x:c r="JO71" s="59"/>
      <x:c r="JP71" s="59"/>
      <x:c r="JQ71" s="59"/>
      <x:c r="JR71" s="59"/>
      <x:c r="JS71" s="59"/>
      <x:c r="JT71" s="59"/>
      <x:c r="JU71" s="59"/>
      <x:c r="JV71" s="59"/>
      <x:c r="JW71" s="59"/>
      <x:c r="JX71" s="59"/>
      <x:c r="JY71" s="59"/>
      <x:c r="JZ71" s="59"/>
      <x:c r="KA71" s="59"/>
      <x:c r="KB71" s="59"/>
      <x:c r="KC71" s="59"/>
      <x:c r="KD71" s="59"/>
      <x:c r="KE71" s="59"/>
      <x:c r="KF71" s="59"/>
      <x:c r="KG71" s="59"/>
      <x:c r="KH71" s="59"/>
      <x:c r="KI71" s="59"/>
      <x:c r="KJ71" s="59"/>
      <x:c r="KK71" s="59"/>
      <x:c r="KL71" s="59"/>
      <x:c r="KM71" s="59"/>
      <x:c r="KN71" s="59"/>
      <x:c r="KO71" s="59"/>
      <x:c r="KP71" s="59"/>
      <x:c r="KQ71" s="59"/>
      <x:c r="KR71" s="59"/>
      <x:c r="KS71" s="59"/>
      <x:c r="KT71" s="59"/>
      <x:c r="KU71" s="59"/>
      <x:c r="KV71" s="59"/>
      <x:c r="KW71" s="59"/>
      <x:c r="KX71" s="59"/>
      <x:c r="KY71" s="59"/>
      <x:c r="KZ71" s="59"/>
      <x:c r="LA71" s="59"/>
      <x:c r="LB71" s="59"/>
      <x:c r="LC71" s="59"/>
      <x:c r="LD71" s="59"/>
      <x:c r="LE71" s="59"/>
      <x:c r="LF71" s="59"/>
      <x:c r="LG71" s="59"/>
      <x:c r="LH71" s="59"/>
      <x:c r="LI71" s="59"/>
      <x:c r="LJ71" s="59"/>
      <x:c r="LK71" s="59"/>
      <x:c r="LL71" s="59"/>
      <x:c r="LM71" s="59"/>
      <x:c r="LN71" s="59"/>
      <x:c r="LO71" s="59"/>
      <x:c r="LP71" s="59"/>
      <x:c r="LQ71" s="59"/>
      <x:c r="LR71" s="59"/>
      <x:c r="LS71" s="59"/>
      <x:c r="LT71" s="59"/>
      <x:c r="LU71" s="59"/>
      <x:c r="LV71" s="59"/>
      <x:c r="LW71" s="59"/>
      <x:c r="LX71" s="59"/>
      <x:c r="LY71" s="59"/>
      <x:c r="LZ71" s="59"/>
      <x:c r="MA71" s="59"/>
      <x:c r="MB71" s="59"/>
      <x:c r="MC71" s="59"/>
      <x:c r="MD71" s="59"/>
      <x:c r="ME71" s="59"/>
      <x:c r="MF71" s="59"/>
      <x:c r="MG71" s="59"/>
      <x:c r="MH71" s="59"/>
      <x:c r="MI71" s="59"/>
      <x:c r="MJ71" s="59"/>
      <x:c r="MK71" s="59"/>
      <x:c r="ML71" s="59"/>
      <x:c r="MM71" s="59"/>
      <x:c r="MN71" s="59"/>
      <x:c r="MO71" s="59"/>
      <x:c r="MP71" s="59"/>
      <x:c r="MQ71" s="59"/>
      <x:c r="MR71" s="59"/>
      <x:c r="MS71" s="59"/>
      <x:c r="MT71" s="59"/>
      <x:c r="MU71" s="59"/>
      <x:c r="MV71" s="59"/>
      <x:c r="MW71" s="59"/>
      <x:c r="MX71" s="59"/>
      <x:c r="MY71" s="59"/>
      <x:c r="MZ71" s="59"/>
      <x:c r="NA71" s="59"/>
      <x:c r="NB71" s="59"/>
      <x:c r="NC71" s="59"/>
      <x:c r="ND71" s="59"/>
      <x:c r="NE71" s="59"/>
      <x:c r="NF71" s="59"/>
      <x:c r="NG71" s="59"/>
      <x:c r="NH71" s="59"/>
      <x:c r="NI71" s="59"/>
      <x:c r="NJ71" s="59"/>
      <x:c r="NK71" s="59"/>
      <x:c r="NL71" s="59"/>
      <x:c r="NM71" s="59"/>
      <x:c r="NN71" s="59"/>
      <x:c r="NO71" s="59"/>
      <x:c r="NP71" s="59"/>
      <x:c r="NQ71" s="59"/>
      <x:c r="NR71" s="59"/>
      <x:c r="NS71" s="59"/>
      <x:c r="NT71" s="59"/>
      <x:c r="NU71" s="59"/>
      <x:c r="NV71" s="59"/>
      <x:c r="NW71" s="59"/>
      <x:c r="NX71" s="59"/>
      <x:c r="NY71" s="59"/>
      <x:c r="NZ71" s="59"/>
      <x:c r="OA71" s="59"/>
      <x:c r="OB71" s="59"/>
      <x:c r="OC71" s="59"/>
      <x:c r="OD71" s="59"/>
      <x:c r="OE71" s="59"/>
      <x:c r="OF71" s="59"/>
      <x:c r="OG71" s="59"/>
      <x:c r="OH71" s="59"/>
      <x:c r="OI71" s="59"/>
      <x:c r="OJ71" s="59"/>
      <x:c r="OK71" s="59"/>
      <x:c r="OL71" s="59"/>
      <x:c r="OM71" s="59"/>
      <x:c r="ON71" s="59"/>
      <x:c r="OO71" s="59"/>
      <x:c r="OP71" s="59"/>
      <x:c r="OQ71" s="59"/>
      <x:c r="OR71" s="59"/>
      <x:c r="OS71" s="59"/>
      <x:c r="OT71" s="59"/>
      <x:c r="OU71" s="59"/>
      <x:c r="OV71" s="59"/>
      <x:c r="OW71" s="59"/>
      <x:c r="OX71" s="59"/>
      <x:c r="OY71" s="59"/>
      <x:c r="OZ71" s="59"/>
      <x:c r="PA71" s="59"/>
      <x:c r="PB71" s="59"/>
      <x:c r="PC71" s="59"/>
      <x:c r="PD71" s="59"/>
      <x:c r="PE71" s="59"/>
      <x:c r="PF71" s="59"/>
      <x:c r="PG71" s="59"/>
      <x:c r="PH71" s="59"/>
      <x:c r="PI71" s="59"/>
      <x:c r="PJ71" s="59"/>
      <x:c r="PK71" s="59"/>
      <x:c r="PL71" s="59"/>
      <x:c r="PM71" s="59"/>
      <x:c r="PN71" s="59"/>
      <x:c r="PO71" s="59"/>
      <x:c r="PP71" s="59"/>
      <x:c r="PQ71" s="59"/>
      <x:c r="PR71" s="59"/>
      <x:c r="PS71" s="59"/>
      <x:c r="PT71" s="59"/>
      <x:c r="PU71" s="59"/>
      <x:c r="PV71" s="59"/>
      <x:c r="PW71" s="59"/>
      <x:c r="PX71" s="59"/>
      <x:c r="PY71" s="59"/>
      <x:c r="PZ71" s="59"/>
      <x:c r="QA71" s="59"/>
      <x:c r="QB71" s="59"/>
      <x:c r="QC71" s="59"/>
      <x:c r="QD71" s="59"/>
      <x:c r="QE71" s="59"/>
      <x:c r="QF71" s="59"/>
      <x:c r="QG71" s="59"/>
      <x:c r="QH71" s="59"/>
      <x:c r="QI71" s="59"/>
      <x:c r="QJ71" s="59"/>
      <x:c r="QK71" s="59"/>
      <x:c r="QL71" s="59"/>
      <x:c r="QM71" s="59"/>
      <x:c r="QN71" s="59"/>
      <x:c r="QO71" s="59"/>
      <x:c r="QP71" s="59"/>
      <x:c r="QQ71" s="59"/>
      <x:c r="QR71" s="59"/>
      <x:c r="QS71" s="59"/>
      <x:c r="QT71" s="59"/>
      <x:c r="QU71" s="59"/>
      <x:c r="QV71" s="59"/>
      <x:c r="QW71" s="59"/>
      <x:c r="QX71" s="59"/>
      <x:c r="QY71" s="59"/>
      <x:c r="QZ71" s="59"/>
      <x:c r="RA71" s="59"/>
      <x:c r="RB71" s="59"/>
      <x:c r="RC71" s="59"/>
      <x:c r="RD71" s="59"/>
      <x:c r="RE71" s="59"/>
      <x:c r="RF71" s="59"/>
      <x:c r="RG71" s="59"/>
      <x:c r="RH71" s="59"/>
      <x:c r="RI71" s="59"/>
      <x:c r="RJ71" s="59"/>
      <x:c r="RK71" s="59"/>
      <x:c r="RL71" s="59"/>
      <x:c r="RM71" s="59"/>
      <x:c r="RN71" s="59"/>
      <x:c r="RO71" s="59"/>
      <x:c r="RP71" s="59"/>
      <x:c r="RQ71" s="59"/>
      <x:c r="RR71" s="59"/>
      <x:c r="RS71" s="59"/>
      <x:c r="RT71" s="59"/>
      <x:c r="RU71" s="59"/>
      <x:c r="RV71" s="59"/>
      <x:c r="RW71" s="59"/>
      <x:c r="RX71" s="59"/>
      <x:c r="RY71" s="59"/>
      <x:c r="RZ71" s="59"/>
      <x:c r="SA71" s="59"/>
      <x:c r="SB71" s="59"/>
      <x:c r="SC71" s="59"/>
      <x:c r="SD71" s="59"/>
      <x:c r="SE71" s="59"/>
      <x:c r="SF71" s="59"/>
    </x:row>
    <x:row r="72">
      <x:c r="A72" s="60">
        <x:v>5</x:v>
      </x:c>
      <x:c r="B72" s="63" t="s">
        <x:v>11</x:v>
      </x:c>
      <x:c r="C72" s="63"/>
      <x:c r="D72" s="63" t="s">
        <x:v>136</x:v>
      </x:c>
      <x:c r="E72" s="63"/>
      <x:c r="F72" s="63" t="s">
        <x:v>137</x:v>
      </x:c>
      <x:c r="G72" s="63"/>
      <x:c r="H72" s="63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  <x:c r="AA72" s="59"/>
      <x:c r="AB72" s="59"/>
      <x:c r="AC72" s="59"/>
      <x:c r="AD72" s="59"/>
      <x:c r="AE72" s="59"/>
      <x:c r="AF72" s="59"/>
      <x:c r="AG72" s="59"/>
      <x:c r="AH72" s="59"/>
      <x:c r="AI72" s="59"/>
      <x:c r="AJ72" s="59"/>
      <x:c r="AK72" s="59"/>
      <x:c r="AL72" s="59"/>
      <x:c r="AM72" s="59"/>
      <x:c r="AN72" s="59"/>
      <x:c r="AO72" s="59"/>
      <x:c r="AP72" s="59"/>
      <x:c r="AQ72" s="59"/>
      <x:c r="AR72" s="59"/>
      <x:c r="AS72" s="59"/>
      <x:c r="AT72" s="59"/>
      <x:c r="AU72" s="59"/>
      <x:c r="AV72" s="59"/>
      <x:c r="AW72" s="59"/>
      <x:c r="AX72" s="59"/>
      <x:c r="AY72" s="59"/>
      <x:c r="AZ72" s="59"/>
      <x:c r="BA72" s="59"/>
      <x:c r="BB72" s="59"/>
      <x:c r="BC72" s="59"/>
      <x:c r="BD72" s="59"/>
      <x:c r="BE72" s="59"/>
      <x:c r="BF72" s="59"/>
      <x:c r="BG72" s="59"/>
      <x:c r="BH72" s="59"/>
      <x:c r="BI72" s="59"/>
      <x:c r="BJ72" s="59"/>
      <x:c r="BK72" s="59"/>
      <x:c r="BL72" s="59"/>
      <x:c r="BM72" s="59"/>
      <x:c r="BN72" s="59"/>
      <x:c r="BO72" s="59"/>
      <x:c r="BP72" s="59"/>
      <x:c r="BQ72" s="59"/>
      <x:c r="BR72" s="59"/>
      <x:c r="BS72" s="59"/>
      <x:c r="BT72" s="59"/>
      <x:c r="BU72" s="59"/>
      <x:c r="BV72" s="59"/>
      <x:c r="BW72" s="59"/>
      <x:c r="BX72" s="59"/>
      <x:c r="BY72" s="59"/>
      <x:c r="BZ72" s="59"/>
      <x:c r="CA72" s="59"/>
      <x:c r="CB72" s="59"/>
      <x:c r="CC72" s="59"/>
      <x:c r="CD72" s="59"/>
      <x:c r="CE72" s="59"/>
      <x:c r="CF72" s="59"/>
      <x:c r="CG72" s="59"/>
      <x:c r="CH72" s="59"/>
      <x:c r="CI72" s="59"/>
      <x:c r="CJ72" s="59"/>
      <x:c r="CK72" s="59"/>
      <x:c r="CL72" s="59"/>
      <x:c r="CM72" s="59"/>
      <x:c r="CN72" s="59"/>
      <x:c r="CO72" s="59"/>
      <x:c r="CP72" s="59"/>
      <x:c r="CQ72" s="59"/>
      <x:c r="CR72" s="59"/>
      <x:c r="CS72" s="59"/>
      <x:c r="CT72" s="59"/>
      <x:c r="CU72" s="59"/>
      <x:c r="CV72" s="59"/>
      <x:c r="CW72" s="59"/>
      <x:c r="CX72" s="59"/>
      <x:c r="CY72" s="59"/>
      <x:c r="CZ72" s="59"/>
      <x:c r="DA72" s="59"/>
      <x:c r="DB72" s="59"/>
      <x:c r="DC72" s="59"/>
      <x:c r="DD72" s="59"/>
      <x:c r="DE72" s="59"/>
      <x:c r="DF72" s="59"/>
      <x:c r="DG72" s="59"/>
      <x:c r="DH72" s="59"/>
      <x:c r="DI72" s="59"/>
      <x:c r="DJ72" s="59"/>
      <x:c r="DK72" s="59"/>
      <x:c r="DL72" s="59"/>
      <x:c r="DM72" s="59"/>
      <x:c r="DN72" s="59"/>
      <x:c r="DO72" s="59"/>
      <x:c r="DP72" s="59"/>
      <x:c r="DQ72" s="59"/>
      <x:c r="DR72" s="59"/>
      <x:c r="DS72" s="59"/>
      <x:c r="DT72" s="59"/>
      <x:c r="DU72" s="59"/>
      <x:c r="DV72" s="59"/>
      <x:c r="DW72" s="59"/>
      <x:c r="DX72" s="59"/>
      <x:c r="DY72" s="59"/>
      <x:c r="DZ72" s="59"/>
      <x:c r="EA72" s="59"/>
      <x:c r="EB72" s="59"/>
      <x:c r="EC72" s="59"/>
      <x:c r="ED72" s="59"/>
      <x:c r="EE72" s="59"/>
      <x:c r="EF72" s="59"/>
      <x:c r="EG72" s="59"/>
      <x:c r="EH72" s="59"/>
      <x:c r="EI72" s="59"/>
      <x:c r="EJ72" s="59"/>
      <x:c r="EK72" s="59"/>
      <x:c r="EL72" s="59"/>
      <x:c r="EM72" s="59"/>
      <x:c r="EN72" s="59"/>
      <x:c r="EO72" s="59"/>
      <x:c r="EP72" s="59"/>
      <x:c r="EQ72" s="59"/>
      <x:c r="ER72" s="59"/>
      <x:c r="ES72" s="59"/>
      <x:c r="ET72" s="59"/>
      <x:c r="EU72" s="59"/>
      <x:c r="EV72" s="59"/>
      <x:c r="EW72" s="59"/>
      <x:c r="EX72" s="59"/>
      <x:c r="EY72" s="59"/>
      <x:c r="EZ72" s="59"/>
      <x:c r="FA72" s="59"/>
      <x:c r="FB72" s="59"/>
      <x:c r="FC72" s="59"/>
      <x:c r="FD72" s="59"/>
      <x:c r="FE72" s="59"/>
      <x:c r="FF72" s="59"/>
      <x:c r="FG72" s="59"/>
      <x:c r="FH72" s="59"/>
      <x:c r="FI72" s="59"/>
      <x:c r="FJ72" s="59"/>
      <x:c r="FK72" s="59"/>
      <x:c r="FL72" s="59"/>
      <x:c r="FM72" s="59"/>
      <x:c r="FN72" s="59"/>
      <x:c r="FO72" s="59"/>
      <x:c r="FP72" s="59"/>
      <x:c r="FQ72" s="59"/>
      <x:c r="FR72" s="59"/>
      <x:c r="FS72" s="59"/>
      <x:c r="FT72" s="59"/>
      <x:c r="FU72" s="59"/>
      <x:c r="FV72" s="59"/>
      <x:c r="FW72" s="59"/>
      <x:c r="FX72" s="59"/>
      <x:c r="FY72" s="59"/>
      <x:c r="FZ72" s="59"/>
      <x:c r="GA72" s="59"/>
      <x:c r="GB72" s="59"/>
      <x:c r="GC72" s="59"/>
      <x:c r="GD72" s="59"/>
      <x:c r="GE72" s="59"/>
      <x:c r="GF72" s="59"/>
      <x:c r="GG72" s="59"/>
      <x:c r="GH72" s="59"/>
      <x:c r="GI72" s="59"/>
      <x:c r="GJ72" s="59"/>
      <x:c r="GK72" s="59"/>
      <x:c r="GL72" s="59"/>
      <x:c r="GM72" s="59"/>
      <x:c r="GN72" s="59"/>
      <x:c r="GO72" s="59"/>
      <x:c r="GP72" s="59"/>
      <x:c r="GQ72" s="59"/>
      <x:c r="GR72" s="59"/>
      <x:c r="GS72" s="59"/>
      <x:c r="GT72" s="59"/>
      <x:c r="GU72" s="59"/>
      <x:c r="GV72" s="59"/>
      <x:c r="GW72" s="59"/>
      <x:c r="GX72" s="59"/>
      <x:c r="GY72" s="59"/>
      <x:c r="GZ72" s="59"/>
      <x:c r="HA72" s="59"/>
      <x:c r="HB72" s="59"/>
      <x:c r="HC72" s="59"/>
      <x:c r="HD72" s="59"/>
      <x:c r="HE72" s="59"/>
      <x:c r="HF72" s="59"/>
      <x:c r="HG72" s="59"/>
      <x:c r="HH72" s="59"/>
      <x:c r="HI72" s="59"/>
      <x:c r="HJ72" s="59"/>
      <x:c r="HK72" s="59"/>
      <x:c r="HL72" s="59"/>
      <x:c r="HM72" s="59"/>
      <x:c r="HN72" s="59"/>
      <x:c r="HO72" s="59"/>
      <x:c r="HP72" s="59"/>
      <x:c r="HQ72" s="59"/>
      <x:c r="HR72" s="59"/>
      <x:c r="HS72" s="59"/>
      <x:c r="HT72" s="59"/>
      <x:c r="HU72" s="59"/>
      <x:c r="HV72" s="59"/>
      <x:c r="HW72" s="59"/>
      <x:c r="HX72" s="59"/>
      <x:c r="HY72" s="59"/>
      <x:c r="HZ72" s="59"/>
      <x:c r="IA72" s="59"/>
      <x:c r="IB72" s="59"/>
      <x:c r="IC72" s="59"/>
      <x:c r="ID72" s="59"/>
      <x:c r="IE72" s="59"/>
      <x:c r="IF72" s="59"/>
      <x:c r="IG72" s="59"/>
      <x:c r="IH72" s="59"/>
      <x:c r="II72" s="59"/>
      <x:c r="IJ72" s="59"/>
      <x:c r="IK72" s="59"/>
      <x:c r="IL72" s="59"/>
      <x:c r="IM72" s="59"/>
      <x:c r="IN72" s="59"/>
      <x:c r="IO72" s="59"/>
      <x:c r="IP72" s="59"/>
      <x:c r="IQ72" s="59"/>
      <x:c r="IR72" s="59"/>
      <x:c r="IS72" s="59"/>
      <x:c r="IT72" s="59"/>
      <x:c r="IU72" s="59"/>
      <x:c r="IV72" s="59"/>
      <x:c r="IW72" s="59"/>
      <x:c r="IX72" s="59"/>
      <x:c r="IY72" s="59"/>
      <x:c r="IZ72" s="59"/>
      <x:c r="JA72" s="59"/>
      <x:c r="JB72" s="59"/>
      <x:c r="JC72" s="59"/>
      <x:c r="JD72" s="59"/>
      <x:c r="JE72" s="59"/>
      <x:c r="JF72" s="59"/>
      <x:c r="JG72" s="59"/>
      <x:c r="JH72" s="59"/>
      <x:c r="JI72" s="59"/>
      <x:c r="JJ72" s="59"/>
      <x:c r="JK72" s="59"/>
      <x:c r="JL72" s="59"/>
      <x:c r="JM72" s="59"/>
      <x:c r="JN72" s="59"/>
      <x:c r="JO72" s="59"/>
      <x:c r="JP72" s="59"/>
      <x:c r="JQ72" s="59"/>
      <x:c r="JR72" s="59"/>
      <x:c r="JS72" s="59"/>
      <x:c r="JT72" s="59"/>
      <x:c r="JU72" s="59"/>
      <x:c r="JV72" s="59"/>
      <x:c r="JW72" s="59"/>
      <x:c r="JX72" s="59"/>
      <x:c r="JY72" s="59"/>
      <x:c r="JZ72" s="59"/>
      <x:c r="KA72" s="59"/>
      <x:c r="KB72" s="59"/>
      <x:c r="KC72" s="59"/>
      <x:c r="KD72" s="59"/>
      <x:c r="KE72" s="59"/>
      <x:c r="KF72" s="59"/>
      <x:c r="KG72" s="59"/>
      <x:c r="KH72" s="59"/>
      <x:c r="KI72" s="59"/>
      <x:c r="KJ72" s="59"/>
      <x:c r="KK72" s="59"/>
      <x:c r="KL72" s="59"/>
      <x:c r="KM72" s="59"/>
      <x:c r="KN72" s="59"/>
      <x:c r="KO72" s="59"/>
      <x:c r="KP72" s="59"/>
      <x:c r="KQ72" s="59"/>
      <x:c r="KR72" s="59"/>
      <x:c r="KS72" s="59"/>
      <x:c r="KT72" s="59"/>
      <x:c r="KU72" s="59"/>
      <x:c r="KV72" s="59"/>
      <x:c r="KW72" s="59"/>
      <x:c r="KX72" s="59"/>
      <x:c r="KY72" s="59"/>
      <x:c r="KZ72" s="59"/>
      <x:c r="LA72" s="59"/>
      <x:c r="LB72" s="59"/>
      <x:c r="LC72" s="59"/>
      <x:c r="LD72" s="59"/>
      <x:c r="LE72" s="59"/>
      <x:c r="LF72" s="59"/>
      <x:c r="LG72" s="59"/>
      <x:c r="LH72" s="59"/>
      <x:c r="LI72" s="59"/>
      <x:c r="LJ72" s="59"/>
      <x:c r="LK72" s="59"/>
      <x:c r="LL72" s="59"/>
      <x:c r="LM72" s="59"/>
      <x:c r="LN72" s="59"/>
      <x:c r="LO72" s="59"/>
      <x:c r="LP72" s="59"/>
      <x:c r="LQ72" s="59"/>
      <x:c r="LR72" s="59"/>
      <x:c r="LS72" s="59"/>
      <x:c r="LT72" s="59"/>
      <x:c r="LU72" s="59"/>
      <x:c r="LV72" s="59"/>
      <x:c r="LW72" s="59"/>
      <x:c r="LX72" s="59"/>
      <x:c r="LY72" s="59"/>
      <x:c r="LZ72" s="59"/>
      <x:c r="MA72" s="59"/>
      <x:c r="MB72" s="59"/>
      <x:c r="MC72" s="59"/>
      <x:c r="MD72" s="59"/>
      <x:c r="ME72" s="59"/>
      <x:c r="MF72" s="59"/>
      <x:c r="MG72" s="59"/>
      <x:c r="MH72" s="59"/>
      <x:c r="MI72" s="59"/>
      <x:c r="MJ72" s="59"/>
      <x:c r="MK72" s="59"/>
      <x:c r="ML72" s="59"/>
      <x:c r="MM72" s="59"/>
      <x:c r="MN72" s="59"/>
      <x:c r="MO72" s="59"/>
      <x:c r="MP72" s="59"/>
      <x:c r="MQ72" s="59"/>
      <x:c r="MR72" s="59"/>
      <x:c r="MS72" s="59"/>
      <x:c r="MT72" s="59"/>
      <x:c r="MU72" s="59"/>
      <x:c r="MV72" s="59"/>
      <x:c r="MW72" s="59"/>
      <x:c r="MX72" s="59"/>
      <x:c r="MY72" s="59"/>
      <x:c r="MZ72" s="59"/>
      <x:c r="NA72" s="59"/>
      <x:c r="NB72" s="59"/>
      <x:c r="NC72" s="59"/>
      <x:c r="ND72" s="59"/>
      <x:c r="NE72" s="59"/>
      <x:c r="NF72" s="59"/>
      <x:c r="NG72" s="59"/>
      <x:c r="NH72" s="59"/>
      <x:c r="NI72" s="59"/>
      <x:c r="NJ72" s="59"/>
      <x:c r="NK72" s="59"/>
      <x:c r="NL72" s="59"/>
      <x:c r="NM72" s="59"/>
      <x:c r="NN72" s="59"/>
      <x:c r="NO72" s="59"/>
      <x:c r="NP72" s="59"/>
      <x:c r="NQ72" s="59"/>
      <x:c r="NR72" s="59"/>
      <x:c r="NS72" s="59"/>
      <x:c r="NT72" s="59"/>
      <x:c r="NU72" s="59"/>
      <x:c r="NV72" s="59"/>
      <x:c r="NW72" s="59"/>
      <x:c r="NX72" s="59"/>
      <x:c r="NY72" s="59"/>
      <x:c r="NZ72" s="59"/>
      <x:c r="OA72" s="59"/>
      <x:c r="OB72" s="59"/>
      <x:c r="OC72" s="59"/>
      <x:c r="OD72" s="59"/>
      <x:c r="OE72" s="59"/>
      <x:c r="OF72" s="59"/>
      <x:c r="OG72" s="59"/>
      <x:c r="OH72" s="59"/>
      <x:c r="OI72" s="59"/>
      <x:c r="OJ72" s="59"/>
      <x:c r="OK72" s="59"/>
      <x:c r="OL72" s="59"/>
      <x:c r="OM72" s="59"/>
      <x:c r="ON72" s="59"/>
      <x:c r="OO72" s="59"/>
      <x:c r="OP72" s="59"/>
      <x:c r="OQ72" s="59"/>
      <x:c r="OR72" s="59"/>
      <x:c r="OS72" s="59"/>
      <x:c r="OT72" s="59"/>
      <x:c r="OU72" s="59"/>
      <x:c r="OV72" s="59"/>
      <x:c r="OW72" s="59"/>
      <x:c r="OX72" s="59"/>
      <x:c r="OY72" s="59"/>
      <x:c r="OZ72" s="59"/>
      <x:c r="PA72" s="59"/>
      <x:c r="PB72" s="59"/>
      <x:c r="PC72" s="59"/>
      <x:c r="PD72" s="59"/>
      <x:c r="PE72" s="59"/>
      <x:c r="PF72" s="59"/>
      <x:c r="PG72" s="59"/>
      <x:c r="PH72" s="59"/>
      <x:c r="PI72" s="59"/>
      <x:c r="PJ72" s="59"/>
      <x:c r="PK72" s="59"/>
      <x:c r="PL72" s="59"/>
      <x:c r="PM72" s="59"/>
      <x:c r="PN72" s="59"/>
      <x:c r="PO72" s="59"/>
      <x:c r="PP72" s="59"/>
      <x:c r="PQ72" s="59"/>
      <x:c r="PR72" s="59"/>
      <x:c r="PS72" s="59"/>
      <x:c r="PT72" s="59"/>
      <x:c r="PU72" s="59"/>
      <x:c r="PV72" s="59"/>
      <x:c r="PW72" s="59"/>
      <x:c r="PX72" s="59"/>
      <x:c r="PY72" s="59"/>
      <x:c r="PZ72" s="59"/>
      <x:c r="QA72" s="59"/>
      <x:c r="QB72" s="59"/>
      <x:c r="QC72" s="59"/>
      <x:c r="QD72" s="59"/>
      <x:c r="QE72" s="59"/>
      <x:c r="QF72" s="59"/>
      <x:c r="QG72" s="59"/>
      <x:c r="QH72" s="59"/>
      <x:c r="QI72" s="59"/>
      <x:c r="QJ72" s="59"/>
      <x:c r="QK72" s="59"/>
      <x:c r="QL72" s="59"/>
      <x:c r="QM72" s="59"/>
      <x:c r="QN72" s="59"/>
      <x:c r="QO72" s="59"/>
      <x:c r="QP72" s="59"/>
      <x:c r="QQ72" s="59"/>
      <x:c r="QR72" s="59"/>
      <x:c r="QS72" s="59"/>
      <x:c r="QT72" s="59"/>
      <x:c r="QU72" s="59"/>
      <x:c r="QV72" s="59"/>
      <x:c r="QW72" s="59"/>
      <x:c r="QX72" s="59"/>
      <x:c r="QY72" s="59"/>
      <x:c r="QZ72" s="59"/>
      <x:c r="RA72" s="59"/>
      <x:c r="RB72" s="59"/>
      <x:c r="RC72" s="59"/>
      <x:c r="RD72" s="59"/>
      <x:c r="RE72" s="59"/>
      <x:c r="RF72" s="59"/>
      <x:c r="RG72" s="59"/>
      <x:c r="RH72" s="59"/>
      <x:c r="RI72" s="59"/>
      <x:c r="RJ72" s="59"/>
      <x:c r="RK72" s="59"/>
      <x:c r="RL72" s="59"/>
      <x:c r="RM72" s="59"/>
      <x:c r="RN72" s="59"/>
      <x:c r="RO72" s="59"/>
      <x:c r="RP72" s="59"/>
      <x:c r="RQ72" s="59"/>
      <x:c r="RR72" s="59"/>
      <x:c r="RS72" s="59"/>
      <x:c r="RT72" s="59"/>
      <x:c r="RU72" s="59"/>
      <x:c r="RV72" s="59"/>
      <x:c r="RW72" s="59"/>
      <x:c r="RX72" s="59"/>
      <x:c r="RY72" s="59"/>
      <x:c r="RZ72" s="59"/>
      <x:c r="SA72" s="59"/>
      <x:c r="SB72" s="59"/>
      <x:c r="SC72" s="59"/>
      <x:c r="SD72" s="59"/>
      <x:c r="SE72" s="59"/>
      <x:c r="SF72" s="59"/>
    </x:row>
    <x:row r="73">
      <x:c r="A73" s="60">
        <x:v>6</x:v>
      </x:c>
      <x:c r="B73" s="63" t="s">
        <x:v>12</x:v>
      </x:c>
      <x:c r="C73" s="63"/>
      <x:c r="D73" s="63"/>
      <x:c r="E73" s="63"/>
      <x:c r="F73" s="63" t="s">
        <x:v>138</x:v>
      </x:c>
      <x:c r="G73" s="63"/>
      <x:c r="H73" s="63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  <x:c r="AA73" s="59"/>
      <x:c r="AB73" s="59"/>
      <x:c r="AC73" s="59"/>
      <x:c r="AD73" s="59"/>
      <x:c r="AE73" s="59"/>
      <x:c r="AF73" s="59"/>
      <x:c r="AG73" s="59"/>
      <x:c r="AH73" s="59"/>
      <x:c r="AI73" s="59"/>
      <x:c r="AJ73" s="59"/>
      <x:c r="AK73" s="59"/>
      <x:c r="AL73" s="59"/>
      <x:c r="AM73" s="59"/>
      <x:c r="AN73" s="59"/>
      <x:c r="AO73" s="59"/>
      <x:c r="AP73" s="59"/>
      <x:c r="AQ73" s="59"/>
      <x:c r="AR73" s="59"/>
      <x:c r="AS73" s="59"/>
      <x:c r="AT73" s="59"/>
      <x:c r="AU73" s="59"/>
      <x:c r="AV73" s="59"/>
      <x:c r="AW73" s="59"/>
      <x:c r="AX73" s="59"/>
      <x:c r="AY73" s="59"/>
      <x:c r="AZ73" s="59"/>
      <x:c r="BA73" s="59"/>
      <x:c r="BB73" s="59"/>
      <x:c r="BC73" s="59"/>
      <x:c r="BD73" s="59"/>
      <x:c r="BE73" s="59"/>
      <x:c r="BF73" s="59"/>
      <x:c r="BG73" s="59"/>
      <x:c r="BH73" s="59"/>
      <x:c r="BI73" s="59"/>
      <x:c r="BJ73" s="59"/>
      <x:c r="BK73" s="59"/>
      <x:c r="BL73" s="59"/>
      <x:c r="BM73" s="59"/>
      <x:c r="BN73" s="59"/>
      <x:c r="BO73" s="59"/>
      <x:c r="BP73" s="59"/>
      <x:c r="BQ73" s="59"/>
      <x:c r="BR73" s="59"/>
      <x:c r="BS73" s="59"/>
      <x:c r="BT73" s="59"/>
      <x:c r="BU73" s="59"/>
      <x:c r="BV73" s="59"/>
      <x:c r="BW73" s="59"/>
      <x:c r="BX73" s="59"/>
      <x:c r="BY73" s="59"/>
      <x:c r="BZ73" s="59"/>
      <x:c r="CA73" s="59"/>
      <x:c r="CB73" s="59"/>
      <x:c r="CC73" s="59"/>
      <x:c r="CD73" s="59"/>
      <x:c r="CE73" s="59"/>
      <x:c r="CF73" s="59"/>
      <x:c r="CG73" s="59"/>
      <x:c r="CH73" s="59"/>
      <x:c r="CI73" s="59"/>
      <x:c r="CJ73" s="59"/>
      <x:c r="CK73" s="59"/>
      <x:c r="CL73" s="59"/>
      <x:c r="CM73" s="59"/>
      <x:c r="CN73" s="59"/>
      <x:c r="CO73" s="59"/>
      <x:c r="CP73" s="59"/>
      <x:c r="CQ73" s="59"/>
      <x:c r="CR73" s="59"/>
      <x:c r="CS73" s="59"/>
      <x:c r="CT73" s="59"/>
      <x:c r="CU73" s="59"/>
      <x:c r="CV73" s="59"/>
      <x:c r="CW73" s="59"/>
      <x:c r="CX73" s="59"/>
      <x:c r="CY73" s="59"/>
      <x:c r="CZ73" s="59"/>
      <x:c r="DA73" s="59"/>
      <x:c r="DB73" s="59"/>
      <x:c r="DC73" s="59"/>
      <x:c r="DD73" s="59"/>
      <x:c r="DE73" s="59"/>
      <x:c r="DF73" s="59"/>
      <x:c r="DG73" s="59"/>
      <x:c r="DH73" s="59"/>
      <x:c r="DI73" s="59"/>
      <x:c r="DJ73" s="59"/>
      <x:c r="DK73" s="59"/>
      <x:c r="DL73" s="59"/>
      <x:c r="DM73" s="59"/>
      <x:c r="DN73" s="59"/>
      <x:c r="DO73" s="59"/>
      <x:c r="DP73" s="59"/>
      <x:c r="DQ73" s="59"/>
      <x:c r="DR73" s="59"/>
      <x:c r="DS73" s="59"/>
      <x:c r="DT73" s="59"/>
      <x:c r="DU73" s="59"/>
      <x:c r="DV73" s="59"/>
      <x:c r="DW73" s="59"/>
      <x:c r="DX73" s="59"/>
      <x:c r="DY73" s="59"/>
      <x:c r="DZ73" s="59"/>
      <x:c r="EA73" s="59"/>
      <x:c r="EB73" s="59"/>
      <x:c r="EC73" s="59"/>
      <x:c r="ED73" s="59"/>
      <x:c r="EE73" s="59"/>
      <x:c r="EF73" s="59"/>
      <x:c r="EG73" s="59"/>
      <x:c r="EH73" s="59"/>
      <x:c r="EI73" s="59"/>
      <x:c r="EJ73" s="59"/>
      <x:c r="EK73" s="59"/>
      <x:c r="EL73" s="59"/>
      <x:c r="EM73" s="59"/>
      <x:c r="EN73" s="59"/>
      <x:c r="EO73" s="59"/>
      <x:c r="EP73" s="59"/>
      <x:c r="EQ73" s="59"/>
      <x:c r="ER73" s="59"/>
      <x:c r="ES73" s="59"/>
      <x:c r="ET73" s="59"/>
      <x:c r="EU73" s="59"/>
      <x:c r="EV73" s="59"/>
      <x:c r="EW73" s="59"/>
      <x:c r="EX73" s="59"/>
      <x:c r="EY73" s="59"/>
      <x:c r="EZ73" s="59"/>
      <x:c r="FA73" s="59"/>
      <x:c r="FB73" s="59"/>
      <x:c r="FC73" s="59"/>
      <x:c r="FD73" s="59"/>
      <x:c r="FE73" s="59"/>
      <x:c r="FF73" s="59"/>
      <x:c r="FG73" s="59"/>
      <x:c r="FH73" s="59"/>
      <x:c r="FI73" s="59"/>
      <x:c r="FJ73" s="59"/>
      <x:c r="FK73" s="59"/>
      <x:c r="FL73" s="59"/>
      <x:c r="FM73" s="59"/>
      <x:c r="FN73" s="59"/>
      <x:c r="FO73" s="59"/>
      <x:c r="FP73" s="59"/>
      <x:c r="FQ73" s="59"/>
      <x:c r="FR73" s="59"/>
      <x:c r="FS73" s="59"/>
      <x:c r="FT73" s="59"/>
      <x:c r="FU73" s="59"/>
      <x:c r="FV73" s="59"/>
      <x:c r="FW73" s="59"/>
      <x:c r="FX73" s="59"/>
      <x:c r="FY73" s="59"/>
      <x:c r="FZ73" s="59"/>
      <x:c r="GA73" s="59"/>
      <x:c r="GB73" s="59"/>
      <x:c r="GC73" s="59"/>
      <x:c r="GD73" s="59"/>
      <x:c r="GE73" s="59"/>
      <x:c r="GF73" s="59"/>
      <x:c r="GG73" s="59"/>
      <x:c r="GH73" s="59"/>
      <x:c r="GI73" s="59"/>
      <x:c r="GJ73" s="59"/>
      <x:c r="GK73" s="59"/>
      <x:c r="GL73" s="59"/>
      <x:c r="GM73" s="59"/>
      <x:c r="GN73" s="59"/>
      <x:c r="GO73" s="59"/>
      <x:c r="GP73" s="59"/>
      <x:c r="GQ73" s="59"/>
      <x:c r="GR73" s="59"/>
      <x:c r="GS73" s="59"/>
      <x:c r="GT73" s="59"/>
      <x:c r="GU73" s="59"/>
      <x:c r="GV73" s="59"/>
      <x:c r="GW73" s="59"/>
      <x:c r="GX73" s="59"/>
      <x:c r="GY73" s="59"/>
      <x:c r="GZ73" s="59"/>
      <x:c r="HA73" s="59"/>
      <x:c r="HB73" s="59"/>
      <x:c r="HC73" s="59"/>
      <x:c r="HD73" s="59"/>
      <x:c r="HE73" s="59"/>
      <x:c r="HF73" s="59"/>
      <x:c r="HG73" s="59"/>
      <x:c r="HH73" s="59"/>
      <x:c r="HI73" s="59"/>
      <x:c r="HJ73" s="59"/>
      <x:c r="HK73" s="59"/>
      <x:c r="HL73" s="59"/>
      <x:c r="HM73" s="59"/>
      <x:c r="HN73" s="59"/>
      <x:c r="HO73" s="59"/>
      <x:c r="HP73" s="59"/>
      <x:c r="HQ73" s="59"/>
      <x:c r="HR73" s="59"/>
      <x:c r="HS73" s="59"/>
      <x:c r="HT73" s="59"/>
      <x:c r="HU73" s="59"/>
      <x:c r="HV73" s="59"/>
      <x:c r="HW73" s="59"/>
      <x:c r="HX73" s="59"/>
      <x:c r="HY73" s="59"/>
      <x:c r="HZ73" s="59"/>
      <x:c r="IA73" s="59"/>
      <x:c r="IB73" s="59"/>
      <x:c r="IC73" s="59"/>
      <x:c r="ID73" s="59"/>
      <x:c r="IE73" s="59"/>
      <x:c r="IF73" s="59"/>
      <x:c r="IG73" s="59"/>
      <x:c r="IH73" s="59"/>
      <x:c r="II73" s="59"/>
      <x:c r="IJ73" s="59"/>
      <x:c r="IK73" s="59"/>
      <x:c r="IL73" s="59"/>
      <x:c r="IM73" s="59"/>
      <x:c r="IN73" s="59"/>
      <x:c r="IO73" s="59"/>
      <x:c r="IP73" s="59"/>
      <x:c r="IQ73" s="59"/>
      <x:c r="IR73" s="59"/>
      <x:c r="IS73" s="59"/>
      <x:c r="IT73" s="59"/>
      <x:c r="IU73" s="59"/>
      <x:c r="IV73" s="59"/>
      <x:c r="IW73" s="59"/>
      <x:c r="IX73" s="59"/>
      <x:c r="IY73" s="59"/>
      <x:c r="IZ73" s="59"/>
      <x:c r="JA73" s="59"/>
      <x:c r="JB73" s="59"/>
      <x:c r="JC73" s="59"/>
      <x:c r="JD73" s="59"/>
      <x:c r="JE73" s="59"/>
      <x:c r="JF73" s="59"/>
      <x:c r="JG73" s="59"/>
      <x:c r="JH73" s="59"/>
      <x:c r="JI73" s="59"/>
      <x:c r="JJ73" s="59"/>
      <x:c r="JK73" s="59"/>
      <x:c r="JL73" s="59"/>
      <x:c r="JM73" s="59"/>
      <x:c r="JN73" s="59"/>
      <x:c r="JO73" s="59"/>
      <x:c r="JP73" s="59"/>
      <x:c r="JQ73" s="59"/>
      <x:c r="JR73" s="59"/>
      <x:c r="JS73" s="59"/>
      <x:c r="JT73" s="59"/>
      <x:c r="JU73" s="59"/>
      <x:c r="JV73" s="59"/>
      <x:c r="JW73" s="59"/>
      <x:c r="JX73" s="59"/>
      <x:c r="JY73" s="59"/>
      <x:c r="JZ73" s="59"/>
      <x:c r="KA73" s="59"/>
      <x:c r="KB73" s="59"/>
      <x:c r="KC73" s="59"/>
      <x:c r="KD73" s="59"/>
      <x:c r="KE73" s="59"/>
      <x:c r="KF73" s="59"/>
      <x:c r="KG73" s="59"/>
      <x:c r="KH73" s="59"/>
      <x:c r="KI73" s="59"/>
      <x:c r="KJ73" s="59"/>
      <x:c r="KK73" s="59"/>
      <x:c r="KL73" s="59"/>
      <x:c r="KM73" s="59"/>
      <x:c r="KN73" s="59"/>
      <x:c r="KO73" s="59"/>
      <x:c r="KP73" s="59"/>
      <x:c r="KQ73" s="59"/>
      <x:c r="KR73" s="59"/>
      <x:c r="KS73" s="59"/>
      <x:c r="KT73" s="59"/>
      <x:c r="KU73" s="59"/>
      <x:c r="KV73" s="59"/>
      <x:c r="KW73" s="59"/>
      <x:c r="KX73" s="59"/>
      <x:c r="KY73" s="59"/>
      <x:c r="KZ73" s="59"/>
      <x:c r="LA73" s="59"/>
      <x:c r="LB73" s="59"/>
      <x:c r="LC73" s="59"/>
      <x:c r="LD73" s="59"/>
      <x:c r="LE73" s="59"/>
      <x:c r="LF73" s="59"/>
      <x:c r="LG73" s="59"/>
      <x:c r="LH73" s="59"/>
      <x:c r="LI73" s="59"/>
      <x:c r="LJ73" s="59"/>
      <x:c r="LK73" s="59"/>
      <x:c r="LL73" s="59"/>
      <x:c r="LM73" s="59"/>
      <x:c r="LN73" s="59"/>
      <x:c r="LO73" s="59"/>
      <x:c r="LP73" s="59"/>
      <x:c r="LQ73" s="59"/>
      <x:c r="LR73" s="59"/>
      <x:c r="LS73" s="59"/>
      <x:c r="LT73" s="59"/>
      <x:c r="LU73" s="59"/>
      <x:c r="LV73" s="59"/>
      <x:c r="LW73" s="59"/>
      <x:c r="LX73" s="59"/>
      <x:c r="LY73" s="59"/>
      <x:c r="LZ73" s="59"/>
      <x:c r="MA73" s="59"/>
      <x:c r="MB73" s="59"/>
      <x:c r="MC73" s="59"/>
      <x:c r="MD73" s="59"/>
      <x:c r="ME73" s="59"/>
      <x:c r="MF73" s="59"/>
      <x:c r="MG73" s="59"/>
      <x:c r="MH73" s="59"/>
      <x:c r="MI73" s="59"/>
      <x:c r="MJ73" s="59"/>
      <x:c r="MK73" s="59"/>
      <x:c r="ML73" s="59"/>
      <x:c r="MM73" s="59"/>
      <x:c r="MN73" s="59"/>
      <x:c r="MO73" s="59"/>
      <x:c r="MP73" s="59"/>
      <x:c r="MQ73" s="59"/>
      <x:c r="MR73" s="59"/>
      <x:c r="MS73" s="59"/>
      <x:c r="MT73" s="59"/>
      <x:c r="MU73" s="59"/>
      <x:c r="MV73" s="59"/>
      <x:c r="MW73" s="59"/>
      <x:c r="MX73" s="59"/>
      <x:c r="MY73" s="59"/>
      <x:c r="MZ73" s="59"/>
      <x:c r="NA73" s="59"/>
      <x:c r="NB73" s="59"/>
      <x:c r="NC73" s="59"/>
      <x:c r="ND73" s="59"/>
      <x:c r="NE73" s="59"/>
      <x:c r="NF73" s="59"/>
      <x:c r="NG73" s="59"/>
      <x:c r="NH73" s="59"/>
      <x:c r="NI73" s="59"/>
      <x:c r="NJ73" s="59"/>
      <x:c r="NK73" s="59"/>
      <x:c r="NL73" s="59"/>
      <x:c r="NM73" s="59"/>
      <x:c r="NN73" s="59"/>
      <x:c r="NO73" s="59"/>
      <x:c r="NP73" s="59"/>
      <x:c r="NQ73" s="59"/>
      <x:c r="NR73" s="59"/>
      <x:c r="NS73" s="59"/>
      <x:c r="NT73" s="59"/>
      <x:c r="NU73" s="59"/>
      <x:c r="NV73" s="59"/>
      <x:c r="NW73" s="59"/>
      <x:c r="NX73" s="59"/>
      <x:c r="NY73" s="59"/>
      <x:c r="NZ73" s="59"/>
      <x:c r="OA73" s="59"/>
      <x:c r="OB73" s="59"/>
      <x:c r="OC73" s="59"/>
      <x:c r="OD73" s="59"/>
      <x:c r="OE73" s="59"/>
      <x:c r="OF73" s="59"/>
      <x:c r="OG73" s="59"/>
      <x:c r="OH73" s="59"/>
      <x:c r="OI73" s="59"/>
      <x:c r="OJ73" s="59"/>
      <x:c r="OK73" s="59"/>
      <x:c r="OL73" s="59"/>
      <x:c r="OM73" s="59"/>
      <x:c r="ON73" s="59"/>
      <x:c r="OO73" s="59"/>
      <x:c r="OP73" s="59"/>
      <x:c r="OQ73" s="59"/>
      <x:c r="OR73" s="59"/>
      <x:c r="OS73" s="59"/>
      <x:c r="OT73" s="59"/>
      <x:c r="OU73" s="59"/>
      <x:c r="OV73" s="59"/>
      <x:c r="OW73" s="59"/>
      <x:c r="OX73" s="59"/>
      <x:c r="OY73" s="59"/>
      <x:c r="OZ73" s="59"/>
      <x:c r="PA73" s="59"/>
      <x:c r="PB73" s="59"/>
      <x:c r="PC73" s="59"/>
      <x:c r="PD73" s="59"/>
      <x:c r="PE73" s="59"/>
      <x:c r="PF73" s="59"/>
      <x:c r="PG73" s="59"/>
      <x:c r="PH73" s="59"/>
      <x:c r="PI73" s="59"/>
      <x:c r="PJ73" s="59"/>
      <x:c r="PK73" s="59"/>
      <x:c r="PL73" s="59"/>
      <x:c r="PM73" s="59"/>
      <x:c r="PN73" s="59"/>
      <x:c r="PO73" s="59"/>
      <x:c r="PP73" s="59"/>
      <x:c r="PQ73" s="59"/>
      <x:c r="PR73" s="59"/>
      <x:c r="PS73" s="59"/>
      <x:c r="PT73" s="59"/>
      <x:c r="PU73" s="59"/>
      <x:c r="PV73" s="59"/>
      <x:c r="PW73" s="59"/>
      <x:c r="PX73" s="59"/>
      <x:c r="PY73" s="59"/>
      <x:c r="PZ73" s="59"/>
      <x:c r="QA73" s="59"/>
      <x:c r="QB73" s="59"/>
      <x:c r="QC73" s="59"/>
      <x:c r="QD73" s="59"/>
      <x:c r="QE73" s="59"/>
      <x:c r="QF73" s="59"/>
      <x:c r="QG73" s="59"/>
      <x:c r="QH73" s="59"/>
      <x:c r="QI73" s="59"/>
      <x:c r="QJ73" s="59"/>
      <x:c r="QK73" s="59"/>
      <x:c r="QL73" s="59"/>
      <x:c r="QM73" s="59"/>
      <x:c r="QN73" s="59"/>
      <x:c r="QO73" s="59"/>
      <x:c r="QP73" s="59"/>
      <x:c r="QQ73" s="59"/>
      <x:c r="QR73" s="59"/>
      <x:c r="QS73" s="59"/>
      <x:c r="QT73" s="59"/>
      <x:c r="QU73" s="59"/>
      <x:c r="QV73" s="59"/>
      <x:c r="QW73" s="59"/>
      <x:c r="QX73" s="59"/>
      <x:c r="QY73" s="59"/>
      <x:c r="QZ73" s="59"/>
      <x:c r="RA73" s="59"/>
      <x:c r="RB73" s="59"/>
      <x:c r="RC73" s="59"/>
      <x:c r="RD73" s="59"/>
      <x:c r="RE73" s="59"/>
      <x:c r="RF73" s="59"/>
      <x:c r="RG73" s="59"/>
      <x:c r="RH73" s="59"/>
      <x:c r="RI73" s="59"/>
      <x:c r="RJ73" s="59"/>
      <x:c r="RK73" s="59"/>
      <x:c r="RL73" s="59"/>
      <x:c r="RM73" s="59"/>
      <x:c r="RN73" s="59"/>
      <x:c r="RO73" s="59"/>
      <x:c r="RP73" s="59"/>
      <x:c r="RQ73" s="59"/>
      <x:c r="RR73" s="59"/>
      <x:c r="RS73" s="59"/>
      <x:c r="RT73" s="59"/>
      <x:c r="RU73" s="59"/>
      <x:c r="RV73" s="59"/>
      <x:c r="RW73" s="59"/>
      <x:c r="RX73" s="59"/>
      <x:c r="RY73" s="59"/>
      <x:c r="RZ73" s="59"/>
      <x:c r="SA73" s="59"/>
      <x:c r="SB73" s="59"/>
      <x:c r="SC73" s="59"/>
      <x:c r="SD73" s="59"/>
      <x:c r="SE73" s="59"/>
      <x:c r="SF73" s="59"/>
    </x:row>
    <x:row r="75" ht="15.75" customHeight="1">
      <x:c r="A75" s="70" t="s">
        <x:v>139</x:v>
      </x:c>
      <x:c r="B75" s="70"/>
      <x:c r="C75" s="70"/>
      <x:c r="D75" s="70"/>
      <x:c r="E75" s="70"/>
      <x:c r="F75" s="70"/>
      <x:c r="G75" s="70"/>
      <x:c r="H75" s="70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  <x:c r="AA75" s="59"/>
      <x:c r="AB75" s="59"/>
      <x:c r="AC75" s="59"/>
      <x:c r="AD75" s="59"/>
      <x:c r="AE75" s="59"/>
      <x:c r="AF75" s="59"/>
      <x:c r="AG75" s="59"/>
      <x:c r="AH75" s="59"/>
      <x:c r="AI75" s="59"/>
      <x:c r="AJ75" s="59"/>
      <x:c r="AK75" s="59"/>
      <x:c r="AL75" s="59"/>
      <x:c r="AM75" s="59"/>
      <x:c r="AN75" s="59"/>
      <x:c r="AO75" s="59"/>
      <x:c r="AP75" s="59"/>
      <x:c r="AQ75" s="59"/>
      <x:c r="AR75" s="59"/>
      <x:c r="AS75" s="59"/>
      <x:c r="AT75" s="59"/>
      <x:c r="AU75" s="59"/>
      <x:c r="AV75" s="59"/>
      <x:c r="AW75" s="59"/>
      <x:c r="AX75" s="59"/>
      <x:c r="AY75" s="59"/>
      <x:c r="AZ75" s="59"/>
      <x:c r="BA75" s="59"/>
      <x:c r="BB75" s="59"/>
      <x:c r="BC75" s="59"/>
      <x:c r="BD75" s="59"/>
      <x:c r="BE75" s="59"/>
      <x:c r="BF75" s="59"/>
      <x:c r="BG75" s="59"/>
      <x:c r="BH75" s="59"/>
      <x:c r="BI75" s="59"/>
      <x:c r="BJ75" s="59"/>
      <x:c r="BK75" s="59"/>
      <x:c r="BL75" s="59"/>
      <x:c r="BM75" s="59"/>
      <x:c r="BN75" s="59"/>
      <x:c r="BO75" s="59"/>
      <x:c r="BP75" s="59"/>
      <x:c r="BQ75" s="59"/>
      <x:c r="BR75" s="59"/>
      <x:c r="BS75" s="59"/>
      <x:c r="BT75" s="59"/>
      <x:c r="BU75" s="59"/>
      <x:c r="BV75" s="59"/>
      <x:c r="BW75" s="59"/>
      <x:c r="BX75" s="59"/>
      <x:c r="BY75" s="59"/>
      <x:c r="BZ75" s="59"/>
      <x:c r="CA75" s="59"/>
      <x:c r="CB75" s="59"/>
      <x:c r="CC75" s="59"/>
      <x:c r="CD75" s="59"/>
      <x:c r="CE75" s="59"/>
      <x:c r="CF75" s="59"/>
      <x:c r="CG75" s="59"/>
      <x:c r="CH75" s="59"/>
      <x:c r="CI75" s="59"/>
      <x:c r="CJ75" s="59"/>
      <x:c r="CK75" s="59"/>
      <x:c r="CL75" s="59"/>
      <x:c r="CM75" s="59"/>
      <x:c r="CN75" s="59"/>
      <x:c r="CO75" s="59"/>
      <x:c r="CP75" s="59"/>
      <x:c r="CQ75" s="59"/>
      <x:c r="CR75" s="59"/>
      <x:c r="CS75" s="59"/>
      <x:c r="CT75" s="59"/>
      <x:c r="CU75" s="59"/>
      <x:c r="CV75" s="59"/>
      <x:c r="CW75" s="59"/>
      <x:c r="CX75" s="59"/>
      <x:c r="CY75" s="59"/>
      <x:c r="CZ75" s="59"/>
      <x:c r="DA75" s="59"/>
      <x:c r="DB75" s="59"/>
      <x:c r="DC75" s="59"/>
      <x:c r="DD75" s="59"/>
      <x:c r="DE75" s="59"/>
      <x:c r="DF75" s="59"/>
      <x:c r="DG75" s="59"/>
      <x:c r="DH75" s="59"/>
      <x:c r="DI75" s="59"/>
      <x:c r="DJ75" s="59"/>
      <x:c r="DK75" s="59"/>
      <x:c r="DL75" s="59"/>
      <x:c r="DM75" s="59"/>
      <x:c r="DN75" s="59"/>
      <x:c r="DO75" s="59"/>
      <x:c r="DP75" s="59"/>
      <x:c r="DQ75" s="59"/>
      <x:c r="DR75" s="59"/>
      <x:c r="DS75" s="59"/>
      <x:c r="DT75" s="59"/>
      <x:c r="DU75" s="59"/>
      <x:c r="DV75" s="59"/>
      <x:c r="DW75" s="59"/>
      <x:c r="DX75" s="59"/>
      <x:c r="DY75" s="59"/>
      <x:c r="DZ75" s="59"/>
      <x:c r="EA75" s="59"/>
      <x:c r="EB75" s="59"/>
      <x:c r="EC75" s="59"/>
      <x:c r="ED75" s="59"/>
      <x:c r="EE75" s="59"/>
      <x:c r="EF75" s="59"/>
      <x:c r="EG75" s="59"/>
      <x:c r="EH75" s="59"/>
      <x:c r="EI75" s="59"/>
      <x:c r="EJ75" s="59"/>
      <x:c r="EK75" s="59"/>
      <x:c r="EL75" s="59"/>
      <x:c r="EM75" s="59"/>
      <x:c r="EN75" s="59"/>
      <x:c r="EO75" s="59"/>
      <x:c r="EP75" s="59"/>
      <x:c r="EQ75" s="59"/>
      <x:c r="ER75" s="59"/>
      <x:c r="ES75" s="59"/>
      <x:c r="ET75" s="59"/>
      <x:c r="EU75" s="59"/>
      <x:c r="EV75" s="59"/>
      <x:c r="EW75" s="59"/>
      <x:c r="EX75" s="59"/>
      <x:c r="EY75" s="59"/>
      <x:c r="EZ75" s="59"/>
      <x:c r="FA75" s="59"/>
      <x:c r="FB75" s="59"/>
      <x:c r="FC75" s="59"/>
      <x:c r="FD75" s="59"/>
      <x:c r="FE75" s="59"/>
      <x:c r="FF75" s="59"/>
      <x:c r="FG75" s="59"/>
      <x:c r="FH75" s="59"/>
      <x:c r="FI75" s="59"/>
      <x:c r="FJ75" s="59"/>
      <x:c r="FK75" s="59"/>
      <x:c r="FL75" s="59"/>
      <x:c r="FM75" s="59"/>
      <x:c r="FN75" s="59"/>
      <x:c r="FO75" s="59"/>
      <x:c r="FP75" s="59"/>
      <x:c r="FQ75" s="59"/>
      <x:c r="FR75" s="59"/>
      <x:c r="FS75" s="59"/>
      <x:c r="FT75" s="59"/>
      <x:c r="FU75" s="59"/>
      <x:c r="FV75" s="59"/>
      <x:c r="FW75" s="59"/>
      <x:c r="FX75" s="59"/>
      <x:c r="FY75" s="59"/>
      <x:c r="FZ75" s="59"/>
      <x:c r="GA75" s="59"/>
      <x:c r="GB75" s="59"/>
      <x:c r="GC75" s="59"/>
      <x:c r="GD75" s="59"/>
      <x:c r="GE75" s="59"/>
      <x:c r="GF75" s="59"/>
      <x:c r="GG75" s="59"/>
      <x:c r="GH75" s="59"/>
      <x:c r="GI75" s="59"/>
      <x:c r="GJ75" s="59"/>
      <x:c r="GK75" s="59"/>
      <x:c r="GL75" s="59"/>
      <x:c r="GM75" s="59"/>
      <x:c r="GN75" s="59"/>
      <x:c r="GO75" s="59"/>
      <x:c r="GP75" s="59"/>
      <x:c r="GQ75" s="59"/>
      <x:c r="GR75" s="59"/>
      <x:c r="GS75" s="59"/>
      <x:c r="GT75" s="59"/>
      <x:c r="GU75" s="59"/>
      <x:c r="GV75" s="59"/>
      <x:c r="GW75" s="59"/>
      <x:c r="GX75" s="59"/>
      <x:c r="GY75" s="59"/>
      <x:c r="GZ75" s="59"/>
      <x:c r="HA75" s="59"/>
      <x:c r="HB75" s="59"/>
      <x:c r="HC75" s="59"/>
      <x:c r="HD75" s="59"/>
      <x:c r="HE75" s="59"/>
      <x:c r="HF75" s="59"/>
      <x:c r="HG75" s="59"/>
      <x:c r="HH75" s="59"/>
      <x:c r="HI75" s="59"/>
      <x:c r="HJ75" s="59"/>
      <x:c r="HK75" s="59"/>
      <x:c r="HL75" s="59"/>
      <x:c r="HM75" s="59"/>
      <x:c r="HN75" s="59"/>
      <x:c r="HO75" s="59"/>
      <x:c r="HP75" s="59"/>
      <x:c r="HQ75" s="59"/>
      <x:c r="HR75" s="59"/>
      <x:c r="HS75" s="59"/>
      <x:c r="HT75" s="59"/>
      <x:c r="HU75" s="59"/>
      <x:c r="HV75" s="59"/>
      <x:c r="HW75" s="59"/>
      <x:c r="HX75" s="59"/>
      <x:c r="HY75" s="59"/>
      <x:c r="HZ75" s="59"/>
      <x:c r="IA75" s="59"/>
      <x:c r="IB75" s="59"/>
      <x:c r="IC75" s="59"/>
      <x:c r="ID75" s="59"/>
      <x:c r="IE75" s="59"/>
      <x:c r="IF75" s="59"/>
      <x:c r="IG75" s="59"/>
      <x:c r="IH75" s="59"/>
      <x:c r="II75" s="59"/>
      <x:c r="IJ75" s="59"/>
      <x:c r="IK75" s="59"/>
      <x:c r="IL75" s="59"/>
      <x:c r="IM75" s="59"/>
      <x:c r="IN75" s="59"/>
      <x:c r="IO75" s="59"/>
      <x:c r="IP75" s="59"/>
      <x:c r="IQ75" s="59"/>
      <x:c r="IR75" s="59"/>
      <x:c r="IS75" s="59"/>
      <x:c r="IT75" s="59"/>
      <x:c r="IU75" s="59"/>
      <x:c r="IV75" s="59"/>
      <x:c r="IW75" s="59"/>
      <x:c r="IX75" s="59"/>
      <x:c r="IY75" s="59"/>
      <x:c r="IZ75" s="59"/>
      <x:c r="JA75" s="59"/>
      <x:c r="JB75" s="59"/>
      <x:c r="JC75" s="59"/>
      <x:c r="JD75" s="59"/>
      <x:c r="JE75" s="59"/>
      <x:c r="JF75" s="59"/>
      <x:c r="JG75" s="59"/>
      <x:c r="JH75" s="59"/>
      <x:c r="JI75" s="59"/>
      <x:c r="JJ75" s="59"/>
      <x:c r="JK75" s="59"/>
      <x:c r="JL75" s="59"/>
      <x:c r="JM75" s="59"/>
      <x:c r="JN75" s="59"/>
      <x:c r="JO75" s="59"/>
      <x:c r="JP75" s="59"/>
      <x:c r="JQ75" s="59"/>
      <x:c r="JR75" s="59"/>
      <x:c r="JS75" s="59"/>
      <x:c r="JT75" s="59"/>
      <x:c r="JU75" s="59"/>
      <x:c r="JV75" s="59"/>
      <x:c r="JW75" s="59"/>
      <x:c r="JX75" s="59"/>
      <x:c r="JY75" s="59"/>
      <x:c r="JZ75" s="59"/>
      <x:c r="KA75" s="59"/>
      <x:c r="KB75" s="59"/>
      <x:c r="KC75" s="59"/>
      <x:c r="KD75" s="59"/>
      <x:c r="KE75" s="59"/>
      <x:c r="KF75" s="59"/>
      <x:c r="KG75" s="59"/>
      <x:c r="KH75" s="59"/>
      <x:c r="KI75" s="59"/>
      <x:c r="KJ75" s="59"/>
      <x:c r="KK75" s="59"/>
      <x:c r="KL75" s="59"/>
      <x:c r="KM75" s="59"/>
      <x:c r="KN75" s="59"/>
      <x:c r="KO75" s="59"/>
      <x:c r="KP75" s="59"/>
      <x:c r="KQ75" s="59"/>
      <x:c r="KR75" s="59"/>
      <x:c r="KS75" s="59"/>
      <x:c r="KT75" s="59"/>
      <x:c r="KU75" s="59"/>
      <x:c r="KV75" s="59"/>
      <x:c r="KW75" s="59"/>
      <x:c r="KX75" s="59"/>
      <x:c r="KY75" s="59"/>
      <x:c r="KZ75" s="59"/>
      <x:c r="LA75" s="59"/>
      <x:c r="LB75" s="59"/>
      <x:c r="LC75" s="59"/>
      <x:c r="LD75" s="59"/>
      <x:c r="LE75" s="59"/>
      <x:c r="LF75" s="59"/>
      <x:c r="LG75" s="59"/>
      <x:c r="LH75" s="59"/>
      <x:c r="LI75" s="59"/>
      <x:c r="LJ75" s="59"/>
      <x:c r="LK75" s="59"/>
      <x:c r="LL75" s="59"/>
      <x:c r="LM75" s="59"/>
      <x:c r="LN75" s="59"/>
      <x:c r="LO75" s="59"/>
      <x:c r="LP75" s="59"/>
      <x:c r="LQ75" s="59"/>
      <x:c r="LR75" s="59"/>
      <x:c r="LS75" s="59"/>
      <x:c r="LT75" s="59"/>
      <x:c r="LU75" s="59"/>
      <x:c r="LV75" s="59"/>
      <x:c r="LW75" s="59"/>
      <x:c r="LX75" s="59"/>
      <x:c r="LY75" s="59"/>
      <x:c r="LZ75" s="59"/>
      <x:c r="MA75" s="59"/>
      <x:c r="MB75" s="59"/>
      <x:c r="MC75" s="59"/>
      <x:c r="MD75" s="59"/>
      <x:c r="ME75" s="59"/>
      <x:c r="MF75" s="59"/>
      <x:c r="MG75" s="59"/>
      <x:c r="MH75" s="59"/>
      <x:c r="MI75" s="59"/>
      <x:c r="MJ75" s="59"/>
      <x:c r="MK75" s="59"/>
      <x:c r="ML75" s="59"/>
      <x:c r="MM75" s="59"/>
      <x:c r="MN75" s="59"/>
      <x:c r="MO75" s="59"/>
      <x:c r="MP75" s="59"/>
      <x:c r="MQ75" s="59"/>
      <x:c r="MR75" s="59"/>
      <x:c r="MS75" s="59"/>
      <x:c r="MT75" s="59"/>
      <x:c r="MU75" s="59"/>
      <x:c r="MV75" s="59"/>
      <x:c r="MW75" s="59"/>
      <x:c r="MX75" s="59"/>
      <x:c r="MY75" s="59"/>
      <x:c r="MZ75" s="59"/>
      <x:c r="NA75" s="59"/>
      <x:c r="NB75" s="59"/>
      <x:c r="NC75" s="59"/>
      <x:c r="ND75" s="59"/>
      <x:c r="NE75" s="59"/>
      <x:c r="NF75" s="59"/>
      <x:c r="NG75" s="59"/>
      <x:c r="NH75" s="59"/>
      <x:c r="NI75" s="59"/>
      <x:c r="NJ75" s="59"/>
      <x:c r="NK75" s="59"/>
      <x:c r="NL75" s="59"/>
      <x:c r="NM75" s="59"/>
      <x:c r="NN75" s="59"/>
      <x:c r="NO75" s="59"/>
      <x:c r="NP75" s="59"/>
      <x:c r="NQ75" s="59"/>
      <x:c r="NR75" s="59"/>
      <x:c r="NS75" s="59"/>
      <x:c r="NT75" s="59"/>
      <x:c r="NU75" s="59"/>
      <x:c r="NV75" s="59"/>
      <x:c r="NW75" s="59"/>
      <x:c r="NX75" s="59"/>
      <x:c r="NY75" s="59"/>
      <x:c r="NZ75" s="59"/>
      <x:c r="OA75" s="59"/>
      <x:c r="OB75" s="59"/>
      <x:c r="OC75" s="59"/>
      <x:c r="OD75" s="59"/>
      <x:c r="OE75" s="59"/>
      <x:c r="OF75" s="59"/>
      <x:c r="OG75" s="59"/>
      <x:c r="OH75" s="59"/>
      <x:c r="OI75" s="59"/>
      <x:c r="OJ75" s="59"/>
      <x:c r="OK75" s="59"/>
      <x:c r="OL75" s="59"/>
      <x:c r="OM75" s="59"/>
      <x:c r="ON75" s="59"/>
      <x:c r="OO75" s="59"/>
      <x:c r="OP75" s="59"/>
      <x:c r="OQ75" s="59"/>
      <x:c r="OR75" s="59"/>
      <x:c r="OS75" s="59"/>
      <x:c r="OT75" s="59"/>
      <x:c r="OU75" s="59"/>
      <x:c r="OV75" s="59"/>
      <x:c r="OW75" s="59"/>
      <x:c r="OX75" s="59"/>
      <x:c r="OY75" s="59"/>
      <x:c r="OZ75" s="59"/>
      <x:c r="PA75" s="59"/>
      <x:c r="PB75" s="59"/>
      <x:c r="PC75" s="59"/>
      <x:c r="PD75" s="59"/>
      <x:c r="PE75" s="59"/>
      <x:c r="PF75" s="59"/>
      <x:c r="PG75" s="59"/>
      <x:c r="PH75" s="59"/>
      <x:c r="PI75" s="59"/>
      <x:c r="PJ75" s="59"/>
      <x:c r="PK75" s="59"/>
      <x:c r="PL75" s="59"/>
      <x:c r="PM75" s="59"/>
      <x:c r="PN75" s="59"/>
      <x:c r="PO75" s="59"/>
      <x:c r="PP75" s="59"/>
      <x:c r="PQ75" s="59"/>
      <x:c r="PR75" s="59"/>
      <x:c r="PS75" s="59"/>
      <x:c r="PT75" s="59"/>
      <x:c r="PU75" s="59"/>
      <x:c r="PV75" s="59"/>
      <x:c r="PW75" s="59"/>
      <x:c r="PX75" s="59"/>
      <x:c r="PY75" s="59"/>
      <x:c r="PZ75" s="59"/>
      <x:c r="QA75" s="59"/>
      <x:c r="QB75" s="59"/>
      <x:c r="QC75" s="59"/>
      <x:c r="QD75" s="59"/>
      <x:c r="QE75" s="59"/>
      <x:c r="QF75" s="59"/>
      <x:c r="QG75" s="59"/>
      <x:c r="QH75" s="59"/>
      <x:c r="QI75" s="59"/>
      <x:c r="QJ75" s="59"/>
      <x:c r="QK75" s="59"/>
      <x:c r="QL75" s="59"/>
      <x:c r="QM75" s="59"/>
      <x:c r="QN75" s="59"/>
      <x:c r="QO75" s="59"/>
      <x:c r="QP75" s="59"/>
      <x:c r="QQ75" s="59"/>
      <x:c r="QR75" s="59"/>
      <x:c r="QS75" s="59"/>
      <x:c r="QT75" s="59"/>
      <x:c r="QU75" s="59"/>
      <x:c r="QV75" s="59"/>
      <x:c r="QW75" s="59"/>
      <x:c r="QX75" s="59"/>
      <x:c r="QY75" s="59"/>
      <x:c r="QZ75" s="59"/>
      <x:c r="RA75" s="59"/>
      <x:c r="RB75" s="59"/>
      <x:c r="RC75" s="59"/>
      <x:c r="RD75" s="59"/>
      <x:c r="RE75" s="59"/>
      <x:c r="RF75" s="59"/>
      <x:c r="RG75" s="59"/>
      <x:c r="RH75" s="59"/>
      <x:c r="RI75" s="59"/>
      <x:c r="RJ75" s="59"/>
      <x:c r="RK75" s="59"/>
      <x:c r="RL75" s="59"/>
      <x:c r="RM75" s="59"/>
      <x:c r="RN75" s="59"/>
      <x:c r="RO75" s="59"/>
      <x:c r="RP75" s="59"/>
      <x:c r="RQ75" s="59"/>
      <x:c r="RR75" s="59"/>
      <x:c r="RS75" s="59"/>
      <x:c r="RT75" s="59"/>
      <x:c r="RU75" s="59"/>
      <x:c r="RV75" s="59"/>
      <x:c r="RW75" s="59"/>
      <x:c r="RX75" s="59"/>
      <x:c r="RY75" s="59"/>
      <x:c r="RZ75" s="59"/>
      <x:c r="SA75" s="59"/>
      <x:c r="SB75" s="59"/>
      <x:c r="SC75" s="59"/>
      <x:c r="SD75" s="59"/>
      <x:c r="SE75" s="59"/>
      <x:c r="SF75" s="59"/>
    </x:row>
    <x:row r="76">
      <x:c r="A76" s="69">
        <x:v>1</x:v>
      </x:c>
      <x:c r="B76" s="63" t="s">
        <x:v>140</x:v>
      </x:c>
      <x:c r="C76" s="63"/>
      <x:c r="D76" s="63"/>
      <x:c r="E76" s="63"/>
      <x:c r="F76" s="63" t="s">
        <x:v>141</x:v>
      </x:c>
      <x:c r="G76" s="63"/>
      <x:c r="H76" s="63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  <x:c r="AA76" s="59"/>
      <x:c r="AB76" s="59"/>
      <x:c r="AC76" s="59"/>
      <x:c r="AD76" s="59"/>
      <x:c r="AE76" s="59"/>
      <x:c r="AF76" s="59"/>
      <x:c r="AG76" s="59"/>
      <x:c r="AH76" s="59"/>
      <x:c r="AI76" s="59"/>
      <x:c r="AJ76" s="59"/>
      <x:c r="AK76" s="59"/>
      <x:c r="AL76" s="59"/>
      <x:c r="AM76" s="59"/>
      <x:c r="AN76" s="59"/>
      <x:c r="AO76" s="59"/>
      <x:c r="AP76" s="59"/>
      <x:c r="AQ76" s="59"/>
      <x:c r="AR76" s="59"/>
      <x:c r="AS76" s="59"/>
      <x:c r="AT76" s="59"/>
      <x:c r="AU76" s="59"/>
      <x:c r="AV76" s="59"/>
      <x:c r="AW76" s="59"/>
      <x:c r="AX76" s="59"/>
      <x:c r="AY76" s="59"/>
      <x:c r="AZ76" s="59"/>
      <x:c r="BA76" s="59"/>
      <x:c r="BB76" s="59"/>
      <x:c r="BC76" s="59"/>
      <x:c r="BD76" s="59"/>
      <x:c r="BE76" s="59"/>
      <x:c r="BF76" s="59"/>
      <x:c r="BG76" s="59"/>
      <x:c r="BH76" s="59"/>
      <x:c r="BI76" s="59"/>
      <x:c r="BJ76" s="59"/>
      <x:c r="BK76" s="59"/>
      <x:c r="BL76" s="59"/>
      <x:c r="BM76" s="59"/>
      <x:c r="BN76" s="59"/>
      <x:c r="BO76" s="59"/>
      <x:c r="BP76" s="59"/>
      <x:c r="BQ76" s="59"/>
      <x:c r="BR76" s="59"/>
      <x:c r="BS76" s="59"/>
      <x:c r="BT76" s="59"/>
      <x:c r="BU76" s="59"/>
      <x:c r="BV76" s="59"/>
      <x:c r="BW76" s="59"/>
      <x:c r="BX76" s="59"/>
      <x:c r="BY76" s="59"/>
      <x:c r="BZ76" s="59"/>
      <x:c r="CA76" s="59"/>
      <x:c r="CB76" s="59"/>
      <x:c r="CC76" s="59"/>
      <x:c r="CD76" s="59"/>
      <x:c r="CE76" s="59"/>
      <x:c r="CF76" s="59"/>
      <x:c r="CG76" s="59"/>
      <x:c r="CH76" s="59"/>
      <x:c r="CI76" s="59"/>
      <x:c r="CJ76" s="59"/>
      <x:c r="CK76" s="59"/>
      <x:c r="CL76" s="59"/>
      <x:c r="CM76" s="59"/>
      <x:c r="CN76" s="59"/>
      <x:c r="CO76" s="59"/>
      <x:c r="CP76" s="59"/>
      <x:c r="CQ76" s="59"/>
      <x:c r="CR76" s="59"/>
      <x:c r="CS76" s="59"/>
      <x:c r="CT76" s="59"/>
      <x:c r="CU76" s="59"/>
      <x:c r="CV76" s="59"/>
      <x:c r="CW76" s="59"/>
      <x:c r="CX76" s="59"/>
      <x:c r="CY76" s="59"/>
      <x:c r="CZ76" s="59"/>
      <x:c r="DA76" s="59"/>
      <x:c r="DB76" s="59"/>
      <x:c r="DC76" s="59"/>
      <x:c r="DD76" s="59"/>
      <x:c r="DE76" s="59"/>
      <x:c r="DF76" s="59"/>
      <x:c r="DG76" s="59"/>
      <x:c r="DH76" s="59"/>
      <x:c r="DI76" s="59"/>
      <x:c r="DJ76" s="59"/>
      <x:c r="DK76" s="59"/>
      <x:c r="DL76" s="59"/>
      <x:c r="DM76" s="59"/>
      <x:c r="DN76" s="59"/>
      <x:c r="DO76" s="59"/>
      <x:c r="DP76" s="59"/>
      <x:c r="DQ76" s="59"/>
      <x:c r="DR76" s="59"/>
      <x:c r="DS76" s="59"/>
      <x:c r="DT76" s="59"/>
      <x:c r="DU76" s="59"/>
      <x:c r="DV76" s="59"/>
      <x:c r="DW76" s="59"/>
      <x:c r="DX76" s="59"/>
      <x:c r="DY76" s="59"/>
      <x:c r="DZ76" s="59"/>
      <x:c r="EA76" s="59"/>
      <x:c r="EB76" s="59"/>
      <x:c r="EC76" s="59"/>
      <x:c r="ED76" s="59"/>
      <x:c r="EE76" s="59"/>
      <x:c r="EF76" s="59"/>
      <x:c r="EG76" s="59"/>
      <x:c r="EH76" s="59"/>
      <x:c r="EI76" s="59"/>
      <x:c r="EJ76" s="59"/>
      <x:c r="EK76" s="59"/>
      <x:c r="EL76" s="59"/>
      <x:c r="EM76" s="59"/>
      <x:c r="EN76" s="59"/>
      <x:c r="EO76" s="59"/>
      <x:c r="EP76" s="59"/>
      <x:c r="EQ76" s="59"/>
      <x:c r="ER76" s="59"/>
      <x:c r="ES76" s="59"/>
      <x:c r="ET76" s="59"/>
      <x:c r="EU76" s="59"/>
      <x:c r="EV76" s="59"/>
      <x:c r="EW76" s="59"/>
      <x:c r="EX76" s="59"/>
      <x:c r="EY76" s="59"/>
      <x:c r="EZ76" s="59"/>
      <x:c r="FA76" s="59"/>
      <x:c r="FB76" s="59"/>
      <x:c r="FC76" s="59"/>
      <x:c r="FD76" s="59"/>
      <x:c r="FE76" s="59"/>
      <x:c r="FF76" s="59"/>
      <x:c r="FG76" s="59"/>
      <x:c r="FH76" s="59"/>
      <x:c r="FI76" s="59"/>
      <x:c r="FJ76" s="59"/>
      <x:c r="FK76" s="59"/>
      <x:c r="FL76" s="59"/>
      <x:c r="FM76" s="59"/>
      <x:c r="FN76" s="59"/>
      <x:c r="FO76" s="59"/>
      <x:c r="FP76" s="59"/>
      <x:c r="FQ76" s="59"/>
      <x:c r="FR76" s="59"/>
      <x:c r="FS76" s="59"/>
      <x:c r="FT76" s="59"/>
      <x:c r="FU76" s="59"/>
      <x:c r="FV76" s="59"/>
      <x:c r="FW76" s="59"/>
      <x:c r="FX76" s="59"/>
      <x:c r="FY76" s="59"/>
      <x:c r="FZ76" s="59"/>
      <x:c r="GA76" s="59"/>
      <x:c r="GB76" s="59"/>
      <x:c r="GC76" s="59"/>
      <x:c r="GD76" s="59"/>
      <x:c r="GE76" s="59"/>
      <x:c r="GF76" s="59"/>
      <x:c r="GG76" s="59"/>
      <x:c r="GH76" s="59"/>
      <x:c r="GI76" s="59"/>
      <x:c r="GJ76" s="59"/>
      <x:c r="GK76" s="59"/>
      <x:c r="GL76" s="59"/>
      <x:c r="GM76" s="59"/>
      <x:c r="GN76" s="59"/>
      <x:c r="GO76" s="59"/>
      <x:c r="GP76" s="59"/>
      <x:c r="GQ76" s="59"/>
      <x:c r="GR76" s="59"/>
      <x:c r="GS76" s="59"/>
      <x:c r="GT76" s="59"/>
      <x:c r="GU76" s="59"/>
      <x:c r="GV76" s="59"/>
      <x:c r="GW76" s="59"/>
      <x:c r="GX76" s="59"/>
      <x:c r="GY76" s="59"/>
      <x:c r="GZ76" s="59"/>
      <x:c r="HA76" s="59"/>
      <x:c r="HB76" s="59"/>
      <x:c r="HC76" s="59"/>
      <x:c r="HD76" s="59"/>
      <x:c r="HE76" s="59"/>
      <x:c r="HF76" s="59"/>
      <x:c r="HG76" s="59"/>
      <x:c r="HH76" s="59"/>
      <x:c r="HI76" s="59"/>
      <x:c r="HJ76" s="59"/>
      <x:c r="HK76" s="59"/>
      <x:c r="HL76" s="59"/>
      <x:c r="HM76" s="59"/>
      <x:c r="HN76" s="59"/>
      <x:c r="HO76" s="59"/>
      <x:c r="HP76" s="59"/>
      <x:c r="HQ76" s="59"/>
      <x:c r="HR76" s="59"/>
      <x:c r="HS76" s="59"/>
      <x:c r="HT76" s="59"/>
      <x:c r="HU76" s="59"/>
      <x:c r="HV76" s="59"/>
      <x:c r="HW76" s="59"/>
      <x:c r="HX76" s="59"/>
      <x:c r="HY76" s="59"/>
      <x:c r="HZ76" s="59"/>
      <x:c r="IA76" s="59"/>
      <x:c r="IB76" s="59"/>
      <x:c r="IC76" s="59"/>
      <x:c r="ID76" s="59"/>
      <x:c r="IE76" s="59"/>
      <x:c r="IF76" s="59"/>
      <x:c r="IG76" s="59"/>
      <x:c r="IH76" s="59"/>
      <x:c r="II76" s="59"/>
      <x:c r="IJ76" s="59"/>
      <x:c r="IK76" s="59"/>
      <x:c r="IL76" s="59"/>
      <x:c r="IM76" s="59"/>
      <x:c r="IN76" s="59"/>
      <x:c r="IO76" s="59"/>
      <x:c r="IP76" s="59"/>
      <x:c r="IQ76" s="59"/>
      <x:c r="IR76" s="59"/>
      <x:c r="IS76" s="59"/>
      <x:c r="IT76" s="59"/>
      <x:c r="IU76" s="59"/>
      <x:c r="IV76" s="59"/>
      <x:c r="IW76" s="59"/>
      <x:c r="IX76" s="59"/>
      <x:c r="IY76" s="59"/>
      <x:c r="IZ76" s="59"/>
      <x:c r="JA76" s="59"/>
      <x:c r="JB76" s="59"/>
      <x:c r="JC76" s="59"/>
      <x:c r="JD76" s="59"/>
      <x:c r="JE76" s="59"/>
      <x:c r="JF76" s="59"/>
      <x:c r="JG76" s="59"/>
      <x:c r="JH76" s="59"/>
      <x:c r="JI76" s="59"/>
      <x:c r="JJ76" s="59"/>
      <x:c r="JK76" s="59"/>
      <x:c r="JL76" s="59"/>
      <x:c r="JM76" s="59"/>
      <x:c r="JN76" s="59"/>
      <x:c r="JO76" s="59"/>
      <x:c r="JP76" s="59"/>
      <x:c r="JQ76" s="59"/>
      <x:c r="JR76" s="59"/>
      <x:c r="JS76" s="59"/>
      <x:c r="JT76" s="59"/>
      <x:c r="JU76" s="59"/>
      <x:c r="JV76" s="59"/>
      <x:c r="JW76" s="59"/>
      <x:c r="JX76" s="59"/>
      <x:c r="JY76" s="59"/>
      <x:c r="JZ76" s="59"/>
      <x:c r="KA76" s="59"/>
      <x:c r="KB76" s="59"/>
      <x:c r="KC76" s="59"/>
      <x:c r="KD76" s="59"/>
      <x:c r="KE76" s="59"/>
      <x:c r="KF76" s="59"/>
      <x:c r="KG76" s="59"/>
      <x:c r="KH76" s="59"/>
      <x:c r="KI76" s="59"/>
      <x:c r="KJ76" s="59"/>
      <x:c r="KK76" s="59"/>
      <x:c r="KL76" s="59"/>
      <x:c r="KM76" s="59"/>
      <x:c r="KN76" s="59"/>
      <x:c r="KO76" s="59"/>
      <x:c r="KP76" s="59"/>
      <x:c r="KQ76" s="59"/>
      <x:c r="KR76" s="59"/>
      <x:c r="KS76" s="59"/>
      <x:c r="KT76" s="59"/>
      <x:c r="KU76" s="59"/>
      <x:c r="KV76" s="59"/>
      <x:c r="KW76" s="59"/>
      <x:c r="KX76" s="59"/>
      <x:c r="KY76" s="59"/>
      <x:c r="KZ76" s="59"/>
      <x:c r="LA76" s="59"/>
      <x:c r="LB76" s="59"/>
      <x:c r="LC76" s="59"/>
      <x:c r="LD76" s="59"/>
      <x:c r="LE76" s="59"/>
      <x:c r="LF76" s="59"/>
      <x:c r="LG76" s="59"/>
      <x:c r="LH76" s="59"/>
      <x:c r="LI76" s="59"/>
      <x:c r="LJ76" s="59"/>
      <x:c r="LK76" s="59"/>
      <x:c r="LL76" s="59"/>
      <x:c r="LM76" s="59"/>
      <x:c r="LN76" s="59"/>
      <x:c r="LO76" s="59"/>
      <x:c r="LP76" s="59"/>
      <x:c r="LQ76" s="59"/>
      <x:c r="LR76" s="59"/>
      <x:c r="LS76" s="59"/>
      <x:c r="LT76" s="59"/>
      <x:c r="LU76" s="59"/>
      <x:c r="LV76" s="59"/>
      <x:c r="LW76" s="59"/>
      <x:c r="LX76" s="59"/>
      <x:c r="LY76" s="59"/>
      <x:c r="LZ76" s="59"/>
      <x:c r="MA76" s="59"/>
      <x:c r="MB76" s="59"/>
      <x:c r="MC76" s="59"/>
      <x:c r="MD76" s="59"/>
      <x:c r="ME76" s="59"/>
      <x:c r="MF76" s="59"/>
      <x:c r="MG76" s="59"/>
      <x:c r="MH76" s="59"/>
      <x:c r="MI76" s="59"/>
      <x:c r="MJ76" s="59"/>
      <x:c r="MK76" s="59"/>
      <x:c r="ML76" s="59"/>
      <x:c r="MM76" s="59"/>
      <x:c r="MN76" s="59"/>
      <x:c r="MO76" s="59"/>
      <x:c r="MP76" s="59"/>
      <x:c r="MQ76" s="59"/>
      <x:c r="MR76" s="59"/>
      <x:c r="MS76" s="59"/>
      <x:c r="MT76" s="59"/>
      <x:c r="MU76" s="59"/>
      <x:c r="MV76" s="59"/>
      <x:c r="MW76" s="59"/>
      <x:c r="MX76" s="59"/>
      <x:c r="MY76" s="59"/>
      <x:c r="MZ76" s="59"/>
      <x:c r="NA76" s="59"/>
      <x:c r="NB76" s="59"/>
      <x:c r="NC76" s="59"/>
      <x:c r="ND76" s="59"/>
      <x:c r="NE76" s="59"/>
      <x:c r="NF76" s="59"/>
      <x:c r="NG76" s="59"/>
      <x:c r="NH76" s="59"/>
      <x:c r="NI76" s="59"/>
      <x:c r="NJ76" s="59"/>
      <x:c r="NK76" s="59"/>
      <x:c r="NL76" s="59"/>
      <x:c r="NM76" s="59"/>
      <x:c r="NN76" s="59"/>
      <x:c r="NO76" s="59"/>
      <x:c r="NP76" s="59"/>
      <x:c r="NQ76" s="59"/>
      <x:c r="NR76" s="59"/>
      <x:c r="NS76" s="59"/>
      <x:c r="NT76" s="59"/>
      <x:c r="NU76" s="59"/>
      <x:c r="NV76" s="59"/>
      <x:c r="NW76" s="59"/>
      <x:c r="NX76" s="59"/>
      <x:c r="NY76" s="59"/>
      <x:c r="NZ76" s="59"/>
      <x:c r="OA76" s="59"/>
      <x:c r="OB76" s="59"/>
      <x:c r="OC76" s="59"/>
      <x:c r="OD76" s="59"/>
      <x:c r="OE76" s="59"/>
      <x:c r="OF76" s="59"/>
      <x:c r="OG76" s="59"/>
      <x:c r="OH76" s="59"/>
      <x:c r="OI76" s="59"/>
      <x:c r="OJ76" s="59"/>
      <x:c r="OK76" s="59"/>
      <x:c r="OL76" s="59"/>
      <x:c r="OM76" s="59"/>
      <x:c r="ON76" s="59"/>
      <x:c r="OO76" s="59"/>
      <x:c r="OP76" s="59"/>
      <x:c r="OQ76" s="59"/>
      <x:c r="OR76" s="59"/>
      <x:c r="OS76" s="59"/>
      <x:c r="OT76" s="59"/>
      <x:c r="OU76" s="59"/>
      <x:c r="OV76" s="59"/>
      <x:c r="OW76" s="59"/>
      <x:c r="OX76" s="59"/>
      <x:c r="OY76" s="59"/>
      <x:c r="OZ76" s="59"/>
      <x:c r="PA76" s="59"/>
      <x:c r="PB76" s="59"/>
      <x:c r="PC76" s="59"/>
      <x:c r="PD76" s="59"/>
      <x:c r="PE76" s="59"/>
      <x:c r="PF76" s="59"/>
      <x:c r="PG76" s="59"/>
      <x:c r="PH76" s="59"/>
      <x:c r="PI76" s="59"/>
      <x:c r="PJ76" s="59"/>
      <x:c r="PK76" s="59"/>
      <x:c r="PL76" s="59"/>
      <x:c r="PM76" s="59"/>
      <x:c r="PN76" s="59"/>
      <x:c r="PO76" s="59"/>
      <x:c r="PP76" s="59"/>
      <x:c r="PQ76" s="59"/>
      <x:c r="PR76" s="59"/>
      <x:c r="PS76" s="59"/>
      <x:c r="PT76" s="59"/>
      <x:c r="PU76" s="59"/>
      <x:c r="PV76" s="59"/>
      <x:c r="PW76" s="59"/>
      <x:c r="PX76" s="59"/>
      <x:c r="PY76" s="59"/>
      <x:c r="PZ76" s="59"/>
      <x:c r="QA76" s="59"/>
      <x:c r="QB76" s="59"/>
      <x:c r="QC76" s="59"/>
      <x:c r="QD76" s="59"/>
      <x:c r="QE76" s="59"/>
      <x:c r="QF76" s="59"/>
      <x:c r="QG76" s="59"/>
      <x:c r="QH76" s="59"/>
      <x:c r="QI76" s="59"/>
      <x:c r="QJ76" s="59"/>
      <x:c r="QK76" s="59"/>
      <x:c r="QL76" s="59"/>
      <x:c r="QM76" s="59"/>
      <x:c r="QN76" s="59"/>
      <x:c r="QO76" s="59"/>
      <x:c r="QP76" s="59"/>
      <x:c r="QQ76" s="59"/>
      <x:c r="QR76" s="59"/>
      <x:c r="QS76" s="59"/>
      <x:c r="QT76" s="59"/>
      <x:c r="QU76" s="59"/>
      <x:c r="QV76" s="59"/>
      <x:c r="QW76" s="59"/>
      <x:c r="QX76" s="59"/>
      <x:c r="QY76" s="59"/>
      <x:c r="QZ76" s="59"/>
      <x:c r="RA76" s="59"/>
      <x:c r="RB76" s="59"/>
      <x:c r="RC76" s="59"/>
      <x:c r="RD76" s="59"/>
      <x:c r="RE76" s="59"/>
      <x:c r="RF76" s="59"/>
      <x:c r="RG76" s="59"/>
      <x:c r="RH76" s="59"/>
      <x:c r="RI76" s="59"/>
      <x:c r="RJ76" s="59"/>
      <x:c r="RK76" s="59"/>
      <x:c r="RL76" s="59"/>
      <x:c r="RM76" s="59"/>
      <x:c r="RN76" s="59"/>
      <x:c r="RO76" s="59"/>
      <x:c r="RP76" s="59"/>
      <x:c r="RQ76" s="59"/>
      <x:c r="RR76" s="59"/>
      <x:c r="RS76" s="59"/>
      <x:c r="RT76" s="59"/>
      <x:c r="RU76" s="59"/>
      <x:c r="RV76" s="59"/>
      <x:c r="RW76" s="59"/>
      <x:c r="RX76" s="59"/>
      <x:c r="RY76" s="59"/>
      <x:c r="RZ76" s="59"/>
      <x:c r="SA76" s="59"/>
      <x:c r="SB76" s="59"/>
      <x:c r="SC76" s="59"/>
      <x:c r="SD76" s="59"/>
      <x:c r="SE76" s="59"/>
      <x:c r="SF76" s="59"/>
    </x:row>
    <x:row r="77" ht="27" customHeight="1">
      <x:c r="A77" s="69">
        <x:v>2</x:v>
      </x:c>
      <x:c r="B77" s="63" t="s">
        <x:v>142</x:v>
      </x:c>
      <x:c r="C77" s="63"/>
      <x:c r="D77" s="63"/>
      <x:c r="E77" s="63"/>
      <x:c r="F77" s="63" t="s">
        <x:v>143</x:v>
      </x:c>
      <x:c r="G77" s="63"/>
      <x:c r="H77" s="63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  <x:c r="AA77" s="59"/>
      <x:c r="AB77" s="59"/>
      <x:c r="AC77" s="59"/>
      <x:c r="AD77" s="59"/>
      <x:c r="AE77" s="59"/>
      <x:c r="AF77" s="59"/>
      <x:c r="AG77" s="59"/>
      <x:c r="AH77" s="59"/>
      <x:c r="AI77" s="59"/>
      <x:c r="AJ77" s="59"/>
      <x:c r="AK77" s="59"/>
      <x:c r="AL77" s="59"/>
      <x:c r="AM77" s="59"/>
      <x:c r="AN77" s="59"/>
      <x:c r="AO77" s="59"/>
      <x:c r="AP77" s="59"/>
      <x:c r="AQ77" s="59"/>
      <x:c r="AR77" s="59"/>
      <x:c r="AS77" s="59"/>
      <x:c r="AT77" s="59"/>
      <x:c r="AU77" s="59"/>
      <x:c r="AV77" s="59"/>
      <x:c r="AW77" s="59"/>
      <x:c r="AX77" s="59"/>
      <x:c r="AY77" s="59"/>
      <x:c r="AZ77" s="59"/>
      <x:c r="BA77" s="59"/>
      <x:c r="BB77" s="59"/>
      <x:c r="BC77" s="59"/>
      <x:c r="BD77" s="59"/>
      <x:c r="BE77" s="59"/>
      <x:c r="BF77" s="59"/>
      <x:c r="BG77" s="59"/>
      <x:c r="BH77" s="59"/>
      <x:c r="BI77" s="59"/>
      <x:c r="BJ77" s="59"/>
      <x:c r="BK77" s="59"/>
      <x:c r="BL77" s="59"/>
      <x:c r="BM77" s="59"/>
      <x:c r="BN77" s="59"/>
      <x:c r="BO77" s="59"/>
      <x:c r="BP77" s="59"/>
      <x:c r="BQ77" s="59"/>
      <x:c r="BR77" s="59"/>
      <x:c r="BS77" s="59"/>
      <x:c r="BT77" s="59"/>
      <x:c r="BU77" s="59"/>
      <x:c r="BV77" s="59"/>
      <x:c r="BW77" s="59"/>
      <x:c r="BX77" s="59"/>
      <x:c r="BY77" s="59"/>
      <x:c r="BZ77" s="59"/>
      <x:c r="CA77" s="59"/>
      <x:c r="CB77" s="59"/>
      <x:c r="CC77" s="59"/>
      <x:c r="CD77" s="59"/>
      <x:c r="CE77" s="59"/>
      <x:c r="CF77" s="59"/>
      <x:c r="CG77" s="59"/>
      <x:c r="CH77" s="59"/>
      <x:c r="CI77" s="59"/>
      <x:c r="CJ77" s="59"/>
      <x:c r="CK77" s="59"/>
      <x:c r="CL77" s="59"/>
      <x:c r="CM77" s="59"/>
      <x:c r="CN77" s="59"/>
      <x:c r="CO77" s="59"/>
      <x:c r="CP77" s="59"/>
      <x:c r="CQ77" s="59"/>
      <x:c r="CR77" s="59"/>
      <x:c r="CS77" s="59"/>
      <x:c r="CT77" s="59"/>
      <x:c r="CU77" s="59"/>
      <x:c r="CV77" s="59"/>
      <x:c r="CW77" s="59"/>
      <x:c r="CX77" s="59"/>
      <x:c r="CY77" s="59"/>
      <x:c r="CZ77" s="59"/>
      <x:c r="DA77" s="59"/>
      <x:c r="DB77" s="59"/>
      <x:c r="DC77" s="59"/>
      <x:c r="DD77" s="59"/>
      <x:c r="DE77" s="59"/>
      <x:c r="DF77" s="59"/>
      <x:c r="DG77" s="59"/>
      <x:c r="DH77" s="59"/>
      <x:c r="DI77" s="59"/>
      <x:c r="DJ77" s="59"/>
      <x:c r="DK77" s="59"/>
      <x:c r="DL77" s="59"/>
      <x:c r="DM77" s="59"/>
      <x:c r="DN77" s="59"/>
      <x:c r="DO77" s="59"/>
      <x:c r="DP77" s="59"/>
      <x:c r="DQ77" s="59"/>
      <x:c r="DR77" s="59"/>
      <x:c r="DS77" s="59"/>
      <x:c r="DT77" s="59"/>
      <x:c r="DU77" s="59"/>
      <x:c r="DV77" s="59"/>
      <x:c r="DW77" s="59"/>
      <x:c r="DX77" s="59"/>
      <x:c r="DY77" s="59"/>
      <x:c r="DZ77" s="59"/>
      <x:c r="EA77" s="59"/>
      <x:c r="EB77" s="59"/>
      <x:c r="EC77" s="59"/>
      <x:c r="ED77" s="59"/>
      <x:c r="EE77" s="59"/>
      <x:c r="EF77" s="59"/>
      <x:c r="EG77" s="59"/>
      <x:c r="EH77" s="59"/>
      <x:c r="EI77" s="59"/>
      <x:c r="EJ77" s="59"/>
      <x:c r="EK77" s="59"/>
      <x:c r="EL77" s="59"/>
      <x:c r="EM77" s="59"/>
      <x:c r="EN77" s="59"/>
      <x:c r="EO77" s="59"/>
      <x:c r="EP77" s="59"/>
      <x:c r="EQ77" s="59"/>
      <x:c r="ER77" s="59"/>
      <x:c r="ES77" s="59"/>
      <x:c r="ET77" s="59"/>
      <x:c r="EU77" s="59"/>
      <x:c r="EV77" s="59"/>
      <x:c r="EW77" s="59"/>
      <x:c r="EX77" s="59"/>
      <x:c r="EY77" s="59"/>
      <x:c r="EZ77" s="59"/>
      <x:c r="FA77" s="59"/>
      <x:c r="FB77" s="59"/>
      <x:c r="FC77" s="59"/>
      <x:c r="FD77" s="59"/>
      <x:c r="FE77" s="59"/>
      <x:c r="FF77" s="59"/>
      <x:c r="FG77" s="59"/>
      <x:c r="FH77" s="59"/>
      <x:c r="FI77" s="59"/>
      <x:c r="FJ77" s="59"/>
      <x:c r="FK77" s="59"/>
      <x:c r="FL77" s="59"/>
      <x:c r="FM77" s="59"/>
      <x:c r="FN77" s="59"/>
      <x:c r="FO77" s="59"/>
      <x:c r="FP77" s="59"/>
      <x:c r="FQ77" s="59"/>
      <x:c r="FR77" s="59"/>
      <x:c r="FS77" s="59"/>
      <x:c r="FT77" s="59"/>
      <x:c r="FU77" s="59"/>
      <x:c r="FV77" s="59"/>
      <x:c r="FW77" s="59"/>
      <x:c r="FX77" s="59"/>
      <x:c r="FY77" s="59"/>
      <x:c r="FZ77" s="59"/>
      <x:c r="GA77" s="59"/>
      <x:c r="GB77" s="59"/>
      <x:c r="GC77" s="59"/>
      <x:c r="GD77" s="59"/>
      <x:c r="GE77" s="59"/>
      <x:c r="GF77" s="59"/>
      <x:c r="GG77" s="59"/>
      <x:c r="GH77" s="59"/>
      <x:c r="GI77" s="59"/>
      <x:c r="GJ77" s="59"/>
      <x:c r="GK77" s="59"/>
      <x:c r="GL77" s="59"/>
      <x:c r="GM77" s="59"/>
      <x:c r="GN77" s="59"/>
      <x:c r="GO77" s="59"/>
      <x:c r="GP77" s="59"/>
      <x:c r="GQ77" s="59"/>
      <x:c r="GR77" s="59"/>
      <x:c r="GS77" s="59"/>
      <x:c r="GT77" s="59"/>
      <x:c r="GU77" s="59"/>
      <x:c r="GV77" s="59"/>
      <x:c r="GW77" s="59"/>
      <x:c r="GX77" s="59"/>
      <x:c r="GY77" s="59"/>
      <x:c r="GZ77" s="59"/>
      <x:c r="HA77" s="59"/>
      <x:c r="HB77" s="59"/>
      <x:c r="HC77" s="59"/>
      <x:c r="HD77" s="59"/>
      <x:c r="HE77" s="59"/>
      <x:c r="HF77" s="59"/>
      <x:c r="HG77" s="59"/>
      <x:c r="HH77" s="59"/>
      <x:c r="HI77" s="59"/>
      <x:c r="HJ77" s="59"/>
      <x:c r="HK77" s="59"/>
      <x:c r="HL77" s="59"/>
      <x:c r="HM77" s="59"/>
      <x:c r="HN77" s="59"/>
      <x:c r="HO77" s="59"/>
      <x:c r="HP77" s="59"/>
      <x:c r="HQ77" s="59"/>
      <x:c r="HR77" s="59"/>
      <x:c r="HS77" s="59"/>
      <x:c r="HT77" s="59"/>
      <x:c r="HU77" s="59"/>
      <x:c r="HV77" s="59"/>
      <x:c r="HW77" s="59"/>
      <x:c r="HX77" s="59"/>
      <x:c r="HY77" s="59"/>
      <x:c r="HZ77" s="59"/>
      <x:c r="IA77" s="59"/>
      <x:c r="IB77" s="59"/>
      <x:c r="IC77" s="59"/>
      <x:c r="ID77" s="59"/>
      <x:c r="IE77" s="59"/>
      <x:c r="IF77" s="59"/>
      <x:c r="IG77" s="59"/>
      <x:c r="IH77" s="59"/>
      <x:c r="II77" s="59"/>
      <x:c r="IJ77" s="59"/>
      <x:c r="IK77" s="59"/>
      <x:c r="IL77" s="59"/>
      <x:c r="IM77" s="59"/>
      <x:c r="IN77" s="59"/>
      <x:c r="IO77" s="59"/>
      <x:c r="IP77" s="59"/>
      <x:c r="IQ77" s="59"/>
      <x:c r="IR77" s="59"/>
      <x:c r="IS77" s="59"/>
      <x:c r="IT77" s="59"/>
      <x:c r="IU77" s="59"/>
      <x:c r="IV77" s="59"/>
      <x:c r="IW77" s="59"/>
      <x:c r="IX77" s="59"/>
      <x:c r="IY77" s="59"/>
      <x:c r="IZ77" s="59"/>
      <x:c r="JA77" s="59"/>
      <x:c r="JB77" s="59"/>
      <x:c r="JC77" s="59"/>
      <x:c r="JD77" s="59"/>
      <x:c r="JE77" s="59"/>
      <x:c r="JF77" s="59"/>
      <x:c r="JG77" s="59"/>
      <x:c r="JH77" s="59"/>
      <x:c r="JI77" s="59"/>
      <x:c r="JJ77" s="59"/>
      <x:c r="JK77" s="59"/>
      <x:c r="JL77" s="59"/>
      <x:c r="JM77" s="59"/>
      <x:c r="JN77" s="59"/>
      <x:c r="JO77" s="59"/>
      <x:c r="JP77" s="59"/>
      <x:c r="JQ77" s="59"/>
      <x:c r="JR77" s="59"/>
      <x:c r="JS77" s="59"/>
      <x:c r="JT77" s="59"/>
      <x:c r="JU77" s="59"/>
      <x:c r="JV77" s="59"/>
      <x:c r="JW77" s="59"/>
      <x:c r="JX77" s="59"/>
      <x:c r="JY77" s="59"/>
      <x:c r="JZ77" s="59"/>
      <x:c r="KA77" s="59"/>
      <x:c r="KB77" s="59"/>
      <x:c r="KC77" s="59"/>
      <x:c r="KD77" s="59"/>
      <x:c r="KE77" s="59"/>
      <x:c r="KF77" s="59"/>
      <x:c r="KG77" s="59"/>
      <x:c r="KH77" s="59"/>
      <x:c r="KI77" s="59"/>
      <x:c r="KJ77" s="59"/>
      <x:c r="KK77" s="59"/>
      <x:c r="KL77" s="59"/>
      <x:c r="KM77" s="59"/>
      <x:c r="KN77" s="59"/>
      <x:c r="KO77" s="59"/>
      <x:c r="KP77" s="59"/>
      <x:c r="KQ77" s="59"/>
      <x:c r="KR77" s="59"/>
      <x:c r="KS77" s="59"/>
      <x:c r="KT77" s="59"/>
      <x:c r="KU77" s="59"/>
      <x:c r="KV77" s="59"/>
      <x:c r="KW77" s="59"/>
      <x:c r="KX77" s="59"/>
      <x:c r="KY77" s="59"/>
      <x:c r="KZ77" s="59"/>
      <x:c r="LA77" s="59"/>
      <x:c r="LB77" s="59"/>
      <x:c r="LC77" s="59"/>
      <x:c r="LD77" s="59"/>
      <x:c r="LE77" s="59"/>
      <x:c r="LF77" s="59"/>
      <x:c r="LG77" s="59"/>
      <x:c r="LH77" s="59"/>
      <x:c r="LI77" s="59"/>
      <x:c r="LJ77" s="59"/>
      <x:c r="LK77" s="59"/>
      <x:c r="LL77" s="59"/>
      <x:c r="LM77" s="59"/>
      <x:c r="LN77" s="59"/>
      <x:c r="LO77" s="59"/>
      <x:c r="LP77" s="59"/>
      <x:c r="LQ77" s="59"/>
      <x:c r="LR77" s="59"/>
      <x:c r="LS77" s="59"/>
      <x:c r="LT77" s="59"/>
      <x:c r="LU77" s="59"/>
      <x:c r="LV77" s="59"/>
      <x:c r="LW77" s="59"/>
      <x:c r="LX77" s="59"/>
      <x:c r="LY77" s="59"/>
      <x:c r="LZ77" s="59"/>
      <x:c r="MA77" s="59"/>
      <x:c r="MB77" s="59"/>
      <x:c r="MC77" s="59"/>
      <x:c r="MD77" s="59"/>
      <x:c r="ME77" s="59"/>
      <x:c r="MF77" s="59"/>
      <x:c r="MG77" s="59"/>
      <x:c r="MH77" s="59"/>
      <x:c r="MI77" s="59"/>
      <x:c r="MJ77" s="59"/>
      <x:c r="MK77" s="59"/>
      <x:c r="ML77" s="59"/>
      <x:c r="MM77" s="59"/>
      <x:c r="MN77" s="59"/>
      <x:c r="MO77" s="59"/>
      <x:c r="MP77" s="59"/>
      <x:c r="MQ77" s="59"/>
      <x:c r="MR77" s="59"/>
      <x:c r="MS77" s="59"/>
      <x:c r="MT77" s="59"/>
      <x:c r="MU77" s="59"/>
      <x:c r="MV77" s="59"/>
      <x:c r="MW77" s="59"/>
      <x:c r="MX77" s="59"/>
      <x:c r="MY77" s="59"/>
      <x:c r="MZ77" s="59"/>
      <x:c r="NA77" s="59"/>
      <x:c r="NB77" s="59"/>
      <x:c r="NC77" s="59"/>
      <x:c r="ND77" s="59"/>
      <x:c r="NE77" s="59"/>
      <x:c r="NF77" s="59"/>
      <x:c r="NG77" s="59"/>
      <x:c r="NH77" s="59"/>
      <x:c r="NI77" s="59"/>
      <x:c r="NJ77" s="59"/>
      <x:c r="NK77" s="59"/>
      <x:c r="NL77" s="59"/>
      <x:c r="NM77" s="59"/>
      <x:c r="NN77" s="59"/>
      <x:c r="NO77" s="59"/>
      <x:c r="NP77" s="59"/>
      <x:c r="NQ77" s="59"/>
      <x:c r="NR77" s="59"/>
      <x:c r="NS77" s="59"/>
      <x:c r="NT77" s="59"/>
      <x:c r="NU77" s="59"/>
      <x:c r="NV77" s="59"/>
      <x:c r="NW77" s="59"/>
      <x:c r="NX77" s="59"/>
      <x:c r="NY77" s="59"/>
      <x:c r="NZ77" s="59"/>
      <x:c r="OA77" s="59"/>
      <x:c r="OB77" s="59"/>
      <x:c r="OC77" s="59"/>
      <x:c r="OD77" s="59"/>
      <x:c r="OE77" s="59"/>
      <x:c r="OF77" s="59"/>
      <x:c r="OG77" s="59"/>
      <x:c r="OH77" s="59"/>
      <x:c r="OI77" s="59"/>
      <x:c r="OJ77" s="59"/>
      <x:c r="OK77" s="59"/>
      <x:c r="OL77" s="59"/>
      <x:c r="OM77" s="59"/>
      <x:c r="ON77" s="59"/>
      <x:c r="OO77" s="59"/>
      <x:c r="OP77" s="59"/>
      <x:c r="OQ77" s="59"/>
      <x:c r="OR77" s="59"/>
      <x:c r="OS77" s="59"/>
      <x:c r="OT77" s="59"/>
      <x:c r="OU77" s="59"/>
      <x:c r="OV77" s="59"/>
      <x:c r="OW77" s="59"/>
      <x:c r="OX77" s="59"/>
      <x:c r="OY77" s="59"/>
      <x:c r="OZ77" s="59"/>
      <x:c r="PA77" s="59"/>
      <x:c r="PB77" s="59"/>
      <x:c r="PC77" s="59"/>
      <x:c r="PD77" s="59"/>
      <x:c r="PE77" s="59"/>
      <x:c r="PF77" s="59"/>
      <x:c r="PG77" s="59"/>
      <x:c r="PH77" s="59"/>
      <x:c r="PI77" s="59"/>
      <x:c r="PJ77" s="59"/>
      <x:c r="PK77" s="59"/>
      <x:c r="PL77" s="59"/>
      <x:c r="PM77" s="59"/>
      <x:c r="PN77" s="59"/>
      <x:c r="PO77" s="59"/>
      <x:c r="PP77" s="59"/>
      <x:c r="PQ77" s="59"/>
      <x:c r="PR77" s="59"/>
      <x:c r="PS77" s="59"/>
      <x:c r="PT77" s="59"/>
      <x:c r="PU77" s="59"/>
      <x:c r="PV77" s="59"/>
      <x:c r="PW77" s="59"/>
      <x:c r="PX77" s="59"/>
      <x:c r="PY77" s="59"/>
      <x:c r="PZ77" s="59"/>
      <x:c r="QA77" s="59"/>
      <x:c r="QB77" s="59"/>
      <x:c r="QC77" s="59"/>
      <x:c r="QD77" s="59"/>
      <x:c r="QE77" s="59"/>
      <x:c r="QF77" s="59"/>
      <x:c r="QG77" s="59"/>
      <x:c r="QH77" s="59"/>
      <x:c r="QI77" s="59"/>
      <x:c r="QJ77" s="59"/>
      <x:c r="QK77" s="59"/>
      <x:c r="QL77" s="59"/>
      <x:c r="QM77" s="59"/>
      <x:c r="QN77" s="59"/>
      <x:c r="QO77" s="59"/>
      <x:c r="QP77" s="59"/>
      <x:c r="QQ77" s="59"/>
      <x:c r="QR77" s="59"/>
      <x:c r="QS77" s="59"/>
      <x:c r="QT77" s="59"/>
      <x:c r="QU77" s="59"/>
      <x:c r="QV77" s="59"/>
      <x:c r="QW77" s="59"/>
      <x:c r="QX77" s="59"/>
      <x:c r="QY77" s="59"/>
      <x:c r="QZ77" s="59"/>
      <x:c r="RA77" s="59"/>
      <x:c r="RB77" s="59"/>
      <x:c r="RC77" s="59"/>
      <x:c r="RD77" s="59"/>
      <x:c r="RE77" s="59"/>
      <x:c r="RF77" s="59"/>
      <x:c r="RG77" s="59"/>
      <x:c r="RH77" s="59"/>
      <x:c r="RI77" s="59"/>
      <x:c r="RJ77" s="59"/>
      <x:c r="RK77" s="59"/>
      <x:c r="RL77" s="59"/>
      <x:c r="RM77" s="59"/>
      <x:c r="RN77" s="59"/>
      <x:c r="RO77" s="59"/>
      <x:c r="RP77" s="59"/>
      <x:c r="RQ77" s="59"/>
      <x:c r="RR77" s="59"/>
      <x:c r="RS77" s="59"/>
      <x:c r="RT77" s="59"/>
      <x:c r="RU77" s="59"/>
      <x:c r="RV77" s="59"/>
      <x:c r="RW77" s="59"/>
      <x:c r="RX77" s="59"/>
      <x:c r="RY77" s="59"/>
      <x:c r="RZ77" s="59"/>
      <x:c r="SA77" s="59"/>
      <x:c r="SB77" s="59"/>
      <x:c r="SC77" s="59"/>
      <x:c r="SD77" s="59"/>
      <x:c r="SE77" s="59"/>
      <x:c r="SF77" s="59"/>
    </x:row>
    <x:row r="78">
      <x:c r="A78" s="69">
        <x:v>3</x:v>
      </x:c>
      <x:c r="B78" s="63" t="s">
        <x:v>144</x:v>
      </x:c>
      <x:c r="C78" s="63"/>
      <x:c r="D78" s="63"/>
      <x:c r="E78" s="63"/>
      <x:c r="F78" s="63" t="s">
        <x:v>145</x:v>
      </x:c>
      <x:c r="G78" s="63"/>
      <x:c r="H78" s="63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  <x:c r="AA78" s="59"/>
      <x:c r="AB78" s="59"/>
      <x:c r="AC78" s="59"/>
      <x:c r="AD78" s="59"/>
      <x:c r="AE78" s="59"/>
      <x:c r="AF78" s="59"/>
      <x:c r="AG78" s="59"/>
      <x:c r="AH78" s="59"/>
      <x:c r="AI78" s="59"/>
      <x:c r="AJ78" s="59"/>
      <x:c r="AK78" s="59"/>
      <x:c r="AL78" s="59"/>
      <x:c r="AM78" s="59"/>
      <x:c r="AN78" s="59"/>
      <x:c r="AO78" s="59"/>
      <x:c r="AP78" s="59"/>
      <x:c r="AQ78" s="59"/>
      <x:c r="AR78" s="59"/>
      <x:c r="AS78" s="59"/>
      <x:c r="AT78" s="59"/>
      <x:c r="AU78" s="59"/>
      <x:c r="AV78" s="59"/>
      <x:c r="AW78" s="59"/>
      <x:c r="AX78" s="59"/>
      <x:c r="AY78" s="59"/>
      <x:c r="AZ78" s="59"/>
      <x:c r="BA78" s="59"/>
      <x:c r="BB78" s="59"/>
      <x:c r="BC78" s="59"/>
      <x:c r="BD78" s="59"/>
      <x:c r="BE78" s="59"/>
      <x:c r="BF78" s="59"/>
      <x:c r="BG78" s="59"/>
      <x:c r="BH78" s="59"/>
      <x:c r="BI78" s="59"/>
      <x:c r="BJ78" s="59"/>
      <x:c r="BK78" s="59"/>
      <x:c r="BL78" s="59"/>
      <x:c r="BM78" s="59"/>
      <x:c r="BN78" s="59"/>
      <x:c r="BO78" s="59"/>
      <x:c r="BP78" s="59"/>
      <x:c r="BQ78" s="59"/>
      <x:c r="BR78" s="59"/>
      <x:c r="BS78" s="59"/>
      <x:c r="BT78" s="59"/>
      <x:c r="BU78" s="59"/>
      <x:c r="BV78" s="59"/>
      <x:c r="BW78" s="59"/>
      <x:c r="BX78" s="59"/>
      <x:c r="BY78" s="59"/>
      <x:c r="BZ78" s="59"/>
      <x:c r="CA78" s="59"/>
      <x:c r="CB78" s="59"/>
      <x:c r="CC78" s="59"/>
      <x:c r="CD78" s="59"/>
      <x:c r="CE78" s="59"/>
      <x:c r="CF78" s="59"/>
      <x:c r="CG78" s="59"/>
      <x:c r="CH78" s="59"/>
      <x:c r="CI78" s="59"/>
      <x:c r="CJ78" s="59"/>
      <x:c r="CK78" s="59"/>
      <x:c r="CL78" s="59"/>
      <x:c r="CM78" s="59"/>
      <x:c r="CN78" s="59"/>
      <x:c r="CO78" s="59"/>
      <x:c r="CP78" s="59"/>
      <x:c r="CQ78" s="59"/>
      <x:c r="CR78" s="59"/>
      <x:c r="CS78" s="59"/>
      <x:c r="CT78" s="59"/>
      <x:c r="CU78" s="59"/>
      <x:c r="CV78" s="59"/>
      <x:c r="CW78" s="59"/>
      <x:c r="CX78" s="59"/>
      <x:c r="CY78" s="59"/>
      <x:c r="CZ78" s="59"/>
      <x:c r="DA78" s="59"/>
      <x:c r="DB78" s="59"/>
      <x:c r="DC78" s="59"/>
      <x:c r="DD78" s="59"/>
      <x:c r="DE78" s="59"/>
      <x:c r="DF78" s="59"/>
      <x:c r="DG78" s="59"/>
      <x:c r="DH78" s="59"/>
      <x:c r="DI78" s="59"/>
      <x:c r="DJ78" s="59"/>
      <x:c r="DK78" s="59"/>
      <x:c r="DL78" s="59"/>
      <x:c r="DM78" s="59"/>
      <x:c r="DN78" s="59"/>
      <x:c r="DO78" s="59"/>
      <x:c r="DP78" s="59"/>
      <x:c r="DQ78" s="59"/>
      <x:c r="DR78" s="59"/>
      <x:c r="DS78" s="59"/>
      <x:c r="DT78" s="59"/>
      <x:c r="DU78" s="59"/>
      <x:c r="DV78" s="59"/>
      <x:c r="DW78" s="59"/>
      <x:c r="DX78" s="59"/>
      <x:c r="DY78" s="59"/>
      <x:c r="DZ78" s="59"/>
      <x:c r="EA78" s="59"/>
      <x:c r="EB78" s="59"/>
      <x:c r="EC78" s="59"/>
      <x:c r="ED78" s="59"/>
      <x:c r="EE78" s="59"/>
      <x:c r="EF78" s="59"/>
      <x:c r="EG78" s="59"/>
      <x:c r="EH78" s="59"/>
      <x:c r="EI78" s="59"/>
      <x:c r="EJ78" s="59"/>
      <x:c r="EK78" s="59"/>
      <x:c r="EL78" s="59"/>
      <x:c r="EM78" s="59"/>
      <x:c r="EN78" s="59"/>
      <x:c r="EO78" s="59"/>
      <x:c r="EP78" s="59"/>
      <x:c r="EQ78" s="59"/>
      <x:c r="ER78" s="59"/>
      <x:c r="ES78" s="59"/>
      <x:c r="ET78" s="59"/>
      <x:c r="EU78" s="59"/>
      <x:c r="EV78" s="59"/>
      <x:c r="EW78" s="59"/>
      <x:c r="EX78" s="59"/>
      <x:c r="EY78" s="59"/>
      <x:c r="EZ78" s="59"/>
      <x:c r="FA78" s="59"/>
      <x:c r="FB78" s="59"/>
      <x:c r="FC78" s="59"/>
      <x:c r="FD78" s="59"/>
      <x:c r="FE78" s="59"/>
      <x:c r="FF78" s="59"/>
      <x:c r="FG78" s="59"/>
      <x:c r="FH78" s="59"/>
      <x:c r="FI78" s="59"/>
      <x:c r="FJ78" s="59"/>
      <x:c r="FK78" s="59"/>
      <x:c r="FL78" s="59"/>
      <x:c r="FM78" s="59"/>
      <x:c r="FN78" s="59"/>
      <x:c r="FO78" s="59"/>
      <x:c r="FP78" s="59"/>
      <x:c r="FQ78" s="59"/>
      <x:c r="FR78" s="59"/>
      <x:c r="FS78" s="59"/>
      <x:c r="FT78" s="59"/>
      <x:c r="FU78" s="59"/>
      <x:c r="FV78" s="59"/>
      <x:c r="FW78" s="59"/>
      <x:c r="FX78" s="59"/>
      <x:c r="FY78" s="59"/>
      <x:c r="FZ78" s="59"/>
      <x:c r="GA78" s="59"/>
      <x:c r="GB78" s="59"/>
      <x:c r="GC78" s="59"/>
      <x:c r="GD78" s="59"/>
      <x:c r="GE78" s="59"/>
      <x:c r="GF78" s="59"/>
      <x:c r="GG78" s="59"/>
      <x:c r="GH78" s="59"/>
      <x:c r="GI78" s="59"/>
      <x:c r="GJ78" s="59"/>
      <x:c r="GK78" s="59"/>
      <x:c r="GL78" s="59"/>
      <x:c r="GM78" s="59"/>
      <x:c r="GN78" s="59"/>
      <x:c r="GO78" s="59"/>
      <x:c r="GP78" s="59"/>
      <x:c r="GQ78" s="59"/>
      <x:c r="GR78" s="59"/>
      <x:c r="GS78" s="59"/>
      <x:c r="GT78" s="59"/>
      <x:c r="GU78" s="59"/>
      <x:c r="GV78" s="59"/>
      <x:c r="GW78" s="59"/>
      <x:c r="GX78" s="59"/>
      <x:c r="GY78" s="59"/>
      <x:c r="GZ78" s="59"/>
      <x:c r="HA78" s="59"/>
      <x:c r="HB78" s="59"/>
      <x:c r="HC78" s="59"/>
      <x:c r="HD78" s="59"/>
      <x:c r="HE78" s="59"/>
      <x:c r="HF78" s="59"/>
      <x:c r="HG78" s="59"/>
      <x:c r="HH78" s="59"/>
      <x:c r="HI78" s="59"/>
      <x:c r="HJ78" s="59"/>
      <x:c r="HK78" s="59"/>
      <x:c r="HL78" s="59"/>
      <x:c r="HM78" s="59"/>
      <x:c r="HN78" s="59"/>
      <x:c r="HO78" s="59"/>
      <x:c r="HP78" s="59"/>
      <x:c r="HQ78" s="59"/>
      <x:c r="HR78" s="59"/>
      <x:c r="HS78" s="59"/>
      <x:c r="HT78" s="59"/>
      <x:c r="HU78" s="59"/>
      <x:c r="HV78" s="59"/>
      <x:c r="HW78" s="59"/>
      <x:c r="HX78" s="59"/>
      <x:c r="HY78" s="59"/>
      <x:c r="HZ78" s="59"/>
      <x:c r="IA78" s="59"/>
      <x:c r="IB78" s="59"/>
      <x:c r="IC78" s="59"/>
      <x:c r="ID78" s="59"/>
      <x:c r="IE78" s="59"/>
      <x:c r="IF78" s="59"/>
      <x:c r="IG78" s="59"/>
      <x:c r="IH78" s="59"/>
      <x:c r="II78" s="59"/>
      <x:c r="IJ78" s="59"/>
      <x:c r="IK78" s="59"/>
      <x:c r="IL78" s="59"/>
      <x:c r="IM78" s="59"/>
      <x:c r="IN78" s="59"/>
      <x:c r="IO78" s="59"/>
      <x:c r="IP78" s="59"/>
      <x:c r="IQ78" s="59"/>
      <x:c r="IR78" s="59"/>
      <x:c r="IS78" s="59"/>
      <x:c r="IT78" s="59"/>
      <x:c r="IU78" s="59"/>
      <x:c r="IV78" s="59"/>
      <x:c r="IW78" s="59"/>
      <x:c r="IX78" s="59"/>
      <x:c r="IY78" s="59"/>
      <x:c r="IZ78" s="59"/>
      <x:c r="JA78" s="59"/>
      <x:c r="JB78" s="59"/>
      <x:c r="JC78" s="59"/>
      <x:c r="JD78" s="59"/>
      <x:c r="JE78" s="59"/>
      <x:c r="JF78" s="59"/>
      <x:c r="JG78" s="59"/>
      <x:c r="JH78" s="59"/>
      <x:c r="JI78" s="59"/>
      <x:c r="JJ78" s="59"/>
      <x:c r="JK78" s="59"/>
      <x:c r="JL78" s="59"/>
      <x:c r="JM78" s="59"/>
      <x:c r="JN78" s="59"/>
      <x:c r="JO78" s="59"/>
      <x:c r="JP78" s="59"/>
      <x:c r="JQ78" s="59"/>
      <x:c r="JR78" s="59"/>
      <x:c r="JS78" s="59"/>
      <x:c r="JT78" s="59"/>
      <x:c r="JU78" s="59"/>
      <x:c r="JV78" s="59"/>
      <x:c r="JW78" s="59"/>
      <x:c r="JX78" s="59"/>
      <x:c r="JY78" s="59"/>
      <x:c r="JZ78" s="59"/>
      <x:c r="KA78" s="59"/>
      <x:c r="KB78" s="59"/>
      <x:c r="KC78" s="59"/>
      <x:c r="KD78" s="59"/>
      <x:c r="KE78" s="59"/>
      <x:c r="KF78" s="59"/>
      <x:c r="KG78" s="59"/>
      <x:c r="KH78" s="59"/>
      <x:c r="KI78" s="59"/>
      <x:c r="KJ78" s="59"/>
      <x:c r="KK78" s="59"/>
      <x:c r="KL78" s="59"/>
      <x:c r="KM78" s="59"/>
      <x:c r="KN78" s="59"/>
      <x:c r="KO78" s="59"/>
      <x:c r="KP78" s="59"/>
      <x:c r="KQ78" s="59"/>
      <x:c r="KR78" s="59"/>
      <x:c r="KS78" s="59"/>
      <x:c r="KT78" s="59"/>
      <x:c r="KU78" s="59"/>
      <x:c r="KV78" s="59"/>
      <x:c r="KW78" s="59"/>
      <x:c r="KX78" s="59"/>
      <x:c r="KY78" s="59"/>
      <x:c r="KZ78" s="59"/>
      <x:c r="LA78" s="59"/>
      <x:c r="LB78" s="59"/>
      <x:c r="LC78" s="59"/>
      <x:c r="LD78" s="59"/>
      <x:c r="LE78" s="59"/>
      <x:c r="LF78" s="59"/>
      <x:c r="LG78" s="59"/>
      <x:c r="LH78" s="59"/>
      <x:c r="LI78" s="59"/>
      <x:c r="LJ78" s="59"/>
      <x:c r="LK78" s="59"/>
      <x:c r="LL78" s="59"/>
      <x:c r="LM78" s="59"/>
      <x:c r="LN78" s="59"/>
      <x:c r="LO78" s="59"/>
      <x:c r="LP78" s="59"/>
      <x:c r="LQ78" s="59"/>
      <x:c r="LR78" s="59"/>
      <x:c r="LS78" s="59"/>
      <x:c r="LT78" s="59"/>
      <x:c r="LU78" s="59"/>
      <x:c r="LV78" s="59"/>
      <x:c r="LW78" s="59"/>
      <x:c r="LX78" s="59"/>
      <x:c r="LY78" s="59"/>
      <x:c r="LZ78" s="59"/>
      <x:c r="MA78" s="59"/>
      <x:c r="MB78" s="59"/>
      <x:c r="MC78" s="59"/>
      <x:c r="MD78" s="59"/>
      <x:c r="ME78" s="59"/>
      <x:c r="MF78" s="59"/>
      <x:c r="MG78" s="59"/>
      <x:c r="MH78" s="59"/>
      <x:c r="MI78" s="59"/>
      <x:c r="MJ78" s="59"/>
      <x:c r="MK78" s="59"/>
      <x:c r="ML78" s="59"/>
      <x:c r="MM78" s="59"/>
      <x:c r="MN78" s="59"/>
      <x:c r="MO78" s="59"/>
      <x:c r="MP78" s="59"/>
      <x:c r="MQ78" s="59"/>
      <x:c r="MR78" s="59"/>
      <x:c r="MS78" s="59"/>
      <x:c r="MT78" s="59"/>
      <x:c r="MU78" s="59"/>
      <x:c r="MV78" s="59"/>
      <x:c r="MW78" s="59"/>
      <x:c r="MX78" s="59"/>
      <x:c r="MY78" s="59"/>
      <x:c r="MZ78" s="59"/>
      <x:c r="NA78" s="59"/>
      <x:c r="NB78" s="59"/>
      <x:c r="NC78" s="59"/>
      <x:c r="ND78" s="59"/>
      <x:c r="NE78" s="59"/>
      <x:c r="NF78" s="59"/>
      <x:c r="NG78" s="59"/>
      <x:c r="NH78" s="59"/>
      <x:c r="NI78" s="59"/>
      <x:c r="NJ78" s="59"/>
      <x:c r="NK78" s="59"/>
      <x:c r="NL78" s="59"/>
      <x:c r="NM78" s="59"/>
      <x:c r="NN78" s="59"/>
      <x:c r="NO78" s="59"/>
      <x:c r="NP78" s="59"/>
      <x:c r="NQ78" s="59"/>
      <x:c r="NR78" s="59"/>
      <x:c r="NS78" s="59"/>
      <x:c r="NT78" s="59"/>
      <x:c r="NU78" s="59"/>
      <x:c r="NV78" s="59"/>
      <x:c r="NW78" s="59"/>
      <x:c r="NX78" s="59"/>
      <x:c r="NY78" s="59"/>
      <x:c r="NZ78" s="59"/>
      <x:c r="OA78" s="59"/>
      <x:c r="OB78" s="59"/>
      <x:c r="OC78" s="59"/>
      <x:c r="OD78" s="59"/>
      <x:c r="OE78" s="59"/>
      <x:c r="OF78" s="59"/>
      <x:c r="OG78" s="59"/>
      <x:c r="OH78" s="59"/>
      <x:c r="OI78" s="59"/>
      <x:c r="OJ78" s="59"/>
      <x:c r="OK78" s="59"/>
      <x:c r="OL78" s="59"/>
      <x:c r="OM78" s="59"/>
      <x:c r="ON78" s="59"/>
      <x:c r="OO78" s="59"/>
      <x:c r="OP78" s="59"/>
      <x:c r="OQ78" s="59"/>
      <x:c r="OR78" s="59"/>
      <x:c r="OS78" s="59"/>
      <x:c r="OT78" s="59"/>
      <x:c r="OU78" s="59"/>
      <x:c r="OV78" s="59"/>
      <x:c r="OW78" s="59"/>
      <x:c r="OX78" s="59"/>
      <x:c r="OY78" s="59"/>
      <x:c r="OZ78" s="59"/>
      <x:c r="PA78" s="59"/>
      <x:c r="PB78" s="59"/>
      <x:c r="PC78" s="59"/>
      <x:c r="PD78" s="59"/>
      <x:c r="PE78" s="59"/>
      <x:c r="PF78" s="59"/>
      <x:c r="PG78" s="59"/>
      <x:c r="PH78" s="59"/>
      <x:c r="PI78" s="59"/>
      <x:c r="PJ78" s="59"/>
      <x:c r="PK78" s="59"/>
      <x:c r="PL78" s="59"/>
      <x:c r="PM78" s="59"/>
      <x:c r="PN78" s="59"/>
      <x:c r="PO78" s="59"/>
      <x:c r="PP78" s="59"/>
      <x:c r="PQ78" s="59"/>
      <x:c r="PR78" s="59"/>
      <x:c r="PS78" s="59"/>
      <x:c r="PT78" s="59"/>
      <x:c r="PU78" s="59"/>
      <x:c r="PV78" s="59"/>
      <x:c r="PW78" s="59"/>
      <x:c r="PX78" s="59"/>
      <x:c r="PY78" s="59"/>
      <x:c r="PZ78" s="59"/>
      <x:c r="QA78" s="59"/>
      <x:c r="QB78" s="59"/>
      <x:c r="QC78" s="59"/>
      <x:c r="QD78" s="59"/>
      <x:c r="QE78" s="59"/>
      <x:c r="QF78" s="59"/>
      <x:c r="QG78" s="59"/>
      <x:c r="QH78" s="59"/>
      <x:c r="QI78" s="59"/>
      <x:c r="QJ78" s="59"/>
      <x:c r="QK78" s="59"/>
      <x:c r="QL78" s="59"/>
      <x:c r="QM78" s="59"/>
      <x:c r="QN78" s="59"/>
      <x:c r="QO78" s="59"/>
      <x:c r="QP78" s="59"/>
      <x:c r="QQ78" s="59"/>
      <x:c r="QR78" s="59"/>
      <x:c r="QS78" s="59"/>
      <x:c r="QT78" s="59"/>
      <x:c r="QU78" s="59"/>
      <x:c r="QV78" s="59"/>
      <x:c r="QW78" s="59"/>
      <x:c r="QX78" s="59"/>
      <x:c r="QY78" s="59"/>
      <x:c r="QZ78" s="59"/>
      <x:c r="RA78" s="59"/>
      <x:c r="RB78" s="59"/>
      <x:c r="RC78" s="59"/>
      <x:c r="RD78" s="59"/>
      <x:c r="RE78" s="59"/>
      <x:c r="RF78" s="59"/>
      <x:c r="RG78" s="59"/>
      <x:c r="RH78" s="59"/>
      <x:c r="RI78" s="59"/>
      <x:c r="RJ78" s="59"/>
      <x:c r="RK78" s="59"/>
      <x:c r="RL78" s="59"/>
      <x:c r="RM78" s="59"/>
      <x:c r="RN78" s="59"/>
      <x:c r="RO78" s="59"/>
      <x:c r="RP78" s="59"/>
      <x:c r="RQ78" s="59"/>
      <x:c r="RR78" s="59"/>
      <x:c r="RS78" s="59"/>
      <x:c r="RT78" s="59"/>
      <x:c r="RU78" s="59"/>
      <x:c r="RV78" s="59"/>
      <x:c r="RW78" s="59"/>
      <x:c r="RX78" s="59"/>
      <x:c r="RY78" s="59"/>
      <x:c r="RZ78" s="59"/>
      <x:c r="SA78" s="59"/>
      <x:c r="SB78" s="59"/>
      <x:c r="SC78" s="59"/>
      <x:c r="SD78" s="59"/>
      <x:c r="SE78" s="59"/>
      <x:c r="SF78" s="59"/>
    </x:row>
    <x:row r="79">
      <x:c r="A79" s="69">
        <x:v>4</x:v>
      </x:c>
      <x:c r="B79" s="63" t="s">
        <x:v>146</x:v>
      </x:c>
      <x:c r="C79" s="63"/>
      <x:c r="D79" s="63"/>
      <x:c r="E79" s="63"/>
      <x:c r="F79" s="63" t="s">
        <x:v>147</x:v>
      </x:c>
      <x:c r="G79" s="63"/>
      <x:c r="H79" s="63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  <x:c r="AA79" s="59"/>
      <x:c r="AB79" s="59"/>
      <x:c r="AC79" s="59"/>
      <x:c r="AD79" s="59"/>
      <x:c r="AE79" s="59"/>
      <x:c r="AF79" s="59"/>
      <x:c r="AG79" s="59"/>
      <x:c r="AH79" s="59"/>
      <x:c r="AI79" s="59"/>
      <x:c r="AJ79" s="59"/>
      <x:c r="AK79" s="59"/>
      <x:c r="AL79" s="59"/>
      <x:c r="AM79" s="59"/>
      <x:c r="AN79" s="59"/>
      <x:c r="AO79" s="59"/>
      <x:c r="AP79" s="59"/>
      <x:c r="AQ79" s="59"/>
      <x:c r="AR79" s="59"/>
      <x:c r="AS79" s="59"/>
      <x:c r="AT79" s="59"/>
      <x:c r="AU79" s="59"/>
      <x:c r="AV79" s="59"/>
      <x:c r="AW79" s="59"/>
      <x:c r="AX79" s="59"/>
      <x:c r="AY79" s="59"/>
      <x:c r="AZ79" s="59"/>
      <x:c r="BA79" s="59"/>
      <x:c r="BB79" s="59"/>
      <x:c r="BC79" s="59"/>
      <x:c r="BD79" s="59"/>
      <x:c r="BE79" s="59"/>
      <x:c r="BF79" s="59"/>
      <x:c r="BG79" s="59"/>
      <x:c r="BH79" s="59"/>
      <x:c r="BI79" s="59"/>
      <x:c r="BJ79" s="59"/>
      <x:c r="BK79" s="59"/>
      <x:c r="BL79" s="59"/>
      <x:c r="BM79" s="59"/>
      <x:c r="BN79" s="59"/>
      <x:c r="BO79" s="59"/>
      <x:c r="BP79" s="59"/>
      <x:c r="BQ79" s="59"/>
      <x:c r="BR79" s="59"/>
      <x:c r="BS79" s="59"/>
      <x:c r="BT79" s="59"/>
      <x:c r="BU79" s="59"/>
      <x:c r="BV79" s="59"/>
      <x:c r="BW79" s="59"/>
      <x:c r="BX79" s="59"/>
      <x:c r="BY79" s="59"/>
      <x:c r="BZ79" s="59"/>
      <x:c r="CA79" s="59"/>
      <x:c r="CB79" s="59"/>
      <x:c r="CC79" s="59"/>
      <x:c r="CD79" s="59"/>
      <x:c r="CE79" s="59"/>
      <x:c r="CF79" s="59"/>
      <x:c r="CG79" s="59"/>
      <x:c r="CH79" s="59"/>
      <x:c r="CI79" s="59"/>
      <x:c r="CJ79" s="59"/>
      <x:c r="CK79" s="59"/>
      <x:c r="CL79" s="59"/>
      <x:c r="CM79" s="59"/>
      <x:c r="CN79" s="59"/>
      <x:c r="CO79" s="59"/>
      <x:c r="CP79" s="59"/>
      <x:c r="CQ79" s="59"/>
      <x:c r="CR79" s="59"/>
      <x:c r="CS79" s="59"/>
      <x:c r="CT79" s="59"/>
      <x:c r="CU79" s="59"/>
      <x:c r="CV79" s="59"/>
      <x:c r="CW79" s="59"/>
      <x:c r="CX79" s="59"/>
      <x:c r="CY79" s="59"/>
      <x:c r="CZ79" s="59"/>
      <x:c r="DA79" s="59"/>
      <x:c r="DB79" s="59"/>
      <x:c r="DC79" s="59"/>
      <x:c r="DD79" s="59"/>
      <x:c r="DE79" s="59"/>
      <x:c r="DF79" s="59"/>
      <x:c r="DG79" s="59"/>
      <x:c r="DH79" s="59"/>
      <x:c r="DI79" s="59"/>
      <x:c r="DJ79" s="59"/>
      <x:c r="DK79" s="59"/>
      <x:c r="DL79" s="59"/>
      <x:c r="DM79" s="59"/>
      <x:c r="DN79" s="59"/>
      <x:c r="DO79" s="59"/>
      <x:c r="DP79" s="59"/>
      <x:c r="DQ79" s="59"/>
      <x:c r="DR79" s="59"/>
      <x:c r="DS79" s="59"/>
      <x:c r="DT79" s="59"/>
      <x:c r="DU79" s="59"/>
      <x:c r="DV79" s="59"/>
      <x:c r="DW79" s="59"/>
      <x:c r="DX79" s="59"/>
      <x:c r="DY79" s="59"/>
      <x:c r="DZ79" s="59"/>
      <x:c r="EA79" s="59"/>
      <x:c r="EB79" s="59"/>
      <x:c r="EC79" s="59"/>
      <x:c r="ED79" s="59"/>
      <x:c r="EE79" s="59"/>
      <x:c r="EF79" s="59"/>
      <x:c r="EG79" s="59"/>
      <x:c r="EH79" s="59"/>
      <x:c r="EI79" s="59"/>
      <x:c r="EJ79" s="59"/>
      <x:c r="EK79" s="59"/>
      <x:c r="EL79" s="59"/>
      <x:c r="EM79" s="59"/>
      <x:c r="EN79" s="59"/>
      <x:c r="EO79" s="59"/>
      <x:c r="EP79" s="59"/>
      <x:c r="EQ79" s="59"/>
      <x:c r="ER79" s="59"/>
      <x:c r="ES79" s="59"/>
      <x:c r="ET79" s="59"/>
      <x:c r="EU79" s="59"/>
      <x:c r="EV79" s="59"/>
      <x:c r="EW79" s="59"/>
      <x:c r="EX79" s="59"/>
      <x:c r="EY79" s="59"/>
      <x:c r="EZ79" s="59"/>
      <x:c r="FA79" s="59"/>
      <x:c r="FB79" s="59"/>
      <x:c r="FC79" s="59"/>
      <x:c r="FD79" s="59"/>
      <x:c r="FE79" s="59"/>
      <x:c r="FF79" s="59"/>
      <x:c r="FG79" s="59"/>
      <x:c r="FH79" s="59"/>
      <x:c r="FI79" s="59"/>
      <x:c r="FJ79" s="59"/>
      <x:c r="FK79" s="59"/>
      <x:c r="FL79" s="59"/>
      <x:c r="FM79" s="59"/>
      <x:c r="FN79" s="59"/>
      <x:c r="FO79" s="59"/>
      <x:c r="FP79" s="59"/>
      <x:c r="FQ79" s="59"/>
      <x:c r="FR79" s="59"/>
      <x:c r="FS79" s="59"/>
      <x:c r="FT79" s="59"/>
      <x:c r="FU79" s="59"/>
      <x:c r="FV79" s="59"/>
      <x:c r="FW79" s="59"/>
      <x:c r="FX79" s="59"/>
      <x:c r="FY79" s="59"/>
      <x:c r="FZ79" s="59"/>
      <x:c r="GA79" s="59"/>
      <x:c r="GB79" s="59"/>
      <x:c r="GC79" s="59"/>
      <x:c r="GD79" s="59"/>
      <x:c r="GE79" s="59"/>
      <x:c r="GF79" s="59"/>
      <x:c r="GG79" s="59"/>
      <x:c r="GH79" s="59"/>
      <x:c r="GI79" s="59"/>
      <x:c r="GJ79" s="59"/>
      <x:c r="GK79" s="59"/>
      <x:c r="GL79" s="59"/>
      <x:c r="GM79" s="59"/>
      <x:c r="GN79" s="59"/>
      <x:c r="GO79" s="59"/>
      <x:c r="GP79" s="59"/>
      <x:c r="GQ79" s="59"/>
      <x:c r="GR79" s="59"/>
      <x:c r="GS79" s="59"/>
      <x:c r="GT79" s="59"/>
      <x:c r="GU79" s="59"/>
      <x:c r="GV79" s="59"/>
      <x:c r="GW79" s="59"/>
      <x:c r="GX79" s="59"/>
      <x:c r="GY79" s="59"/>
      <x:c r="GZ79" s="59"/>
      <x:c r="HA79" s="59"/>
      <x:c r="HB79" s="59"/>
      <x:c r="HC79" s="59"/>
      <x:c r="HD79" s="59"/>
      <x:c r="HE79" s="59"/>
      <x:c r="HF79" s="59"/>
      <x:c r="HG79" s="59"/>
      <x:c r="HH79" s="59"/>
      <x:c r="HI79" s="59"/>
      <x:c r="HJ79" s="59"/>
      <x:c r="HK79" s="59"/>
      <x:c r="HL79" s="59"/>
      <x:c r="HM79" s="59"/>
      <x:c r="HN79" s="59"/>
      <x:c r="HO79" s="59"/>
      <x:c r="HP79" s="59"/>
      <x:c r="HQ79" s="59"/>
      <x:c r="HR79" s="59"/>
      <x:c r="HS79" s="59"/>
      <x:c r="HT79" s="59"/>
      <x:c r="HU79" s="59"/>
      <x:c r="HV79" s="59"/>
      <x:c r="HW79" s="59"/>
      <x:c r="HX79" s="59"/>
      <x:c r="HY79" s="59"/>
      <x:c r="HZ79" s="59"/>
      <x:c r="IA79" s="59"/>
      <x:c r="IB79" s="59"/>
      <x:c r="IC79" s="59"/>
      <x:c r="ID79" s="59"/>
      <x:c r="IE79" s="59"/>
      <x:c r="IF79" s="59"/>
      <x:c r="IG79" s="59"/>
      <x:c r="IH79" s="59"/>
      <x:c r="II79" s="59"/>
      <x:c r="IJ79" s="59"/>
      <x:c r="IK79" s="59"/>
      <x:c r="IL79" s="59"/>
      <x:c r="IM79" s="59"/>
      <x:c r="IN79" s="59"/>
      <x:c r="IO79" s="59"/>
      <x:c r="IP79" s="59"/>
      <x:c r="IQ79" s="59"/>
      <x:c r="IR79" s="59"/>
      <x:c r="IS79" s="59"/>
      <x:c r="IT79" s="59"/>
      <x:c r="IU79" s="59"/>
      <x:c r="IV79" s="59"/>
      <x:c r="IW79" s="59"/>
      <x:c r="IX79" s="59"/>
      <x:c r="IY79" s="59"/>
      <x:c r="IZ79" s="59"/>
      <x:c r="JA79" s="59"/>
      <x:c r="JB79" s="59"/>
      <x:c r="JC79" s="59"/>
      <x:c r="JD79" s="59"/>
      <x:c r="JE79" s="59"/>
      <x:c r="JF79" s="59"/>
      <x:c r="JG79" s="59"/>
      <x:c r="JH79" s="59"/>
      <x:c r="JI79" s="59"/>
      <x:c r="JJ79" s="59"/>
      <x:c r="JK79" s="59"/>
      <x:c r="JL79" s="59"/>
      <x:c r="JM79" s="59"/>
      <x:c r="JN79" s="59"/>
      <x:c r="JO79" s="59"/>
      <x:c r="JP79" s="59"/>
      <x:c r="JQ79" s="59"/>
      <x:c r="JR79" s="59"/>
      <x:c r="JS79" s="59"/>
      <x:c r="JT79" s="59"/>
      <x:c r="JU79" s="59"/>
      <x:c r="JV79" s="59"/>
      <x:c r="JW79" s="59"/>
      <x:c r="JX79" s="59"/>
      <x:c r="JY79" s="59"/>
      <x:c r="JZ79" s="59"/>
      <x:c r="KA79" s="59"/>
      <x:c r="KB79" s="59"/>
      <x:c r="KC79" s="59"/>
      <x:c r="KD79" s="59"/>
      <x:c r="KE79" s="59"/>
      <x:c r="KF79" s="59"/>
      <x:c r="KG79" s="59"/>
      <x:c r="KH79" s="59"/>
      <x:c r="KI79" s="59"/>
      <x:c r="KJ79" s="59"/>
      <x:c r="KK79" s="59"/>
      <x:c r="KL79" s="59"/>
      <x:c r="KM79" s="59"/>
      <x:c r="KN79" s="59"/>
      <x:c r="KO79" s="59"/>
      <x:c r="KP79" s="59"/>
      <x:c r="KQ79" s="59"/>
      <x:c r="KR79" s="59"/>
      <x:c r="KS79" s="59"/>
      <x:c r="KT79" s="59"/>
      <x:c r="KU79" s="59"/>
      <x:c r="KV79" s="59"/>
      <x:c r="KW79" s="59"/>
      <x:c r="KX79" s="59"/>
      <x:c r="KY79" s="59"/>
      <x:c r="KZ79" s="59"/>
      <x:c r="LA79" s="59"/>
      <x:c r="LB79" s="59"/>
      <x:c r="LC79" s="59"/>
      <x:c r="LD79" s="59"/>
      <x:c r="LE79" s="59"/>
      <x:c r="LF79" s="59"/>
      <x:c r="LG79" s="59"/>
      <x:c r="LH79" s="59"/>
      <x:c r="LI79" s="59"/>
      <x:c r="LJ79" s="59"/>
      <x:c r="LK79" s="59"/>
      <x:c r="LL79" s="59"/>
      <x:c r="LM79" s="59"/>
      <x:c r="LN79" s="59"/>
      <x:c r="LO79" s="59"/>
      <x:c r="LP79" s="59"/>
      <x:c r="LQ79" s="59"/>
      <x:c r="LR79" s="59"/>
      <x:c r="LS79" s="59"/>
      <x:c r="LT79" s="59"/>
      <x:c r="LU79" s="59"/>
      <x:c r="LV79" s="59"/>
      <x:c r="LW79" s="59"/>
      <x:c r="LX79" s="59"/>
      <x:c r="LY79" s="59"/>
      <x:c r="LZ79" s="59"/>
      <x:c r="MA79" s="59"/>
      <x:c r="MB79" s="59"/>
      <x:c r="MC79" s="59"/>
      <x:c r="MD79" s="59"/>
      <x:c r="ME79" s="59"/>
      <x:c r="MF79" s="59"/>
      <x:c r="MG79" s="59"/>
      <x:c r="MH79" s="59"/>
      <x:c r="MI79" s="59"/>
      <x:c r="MJ79" s="59"/>
      <x:c r="MK79" s="59"/>
      <x:c r="ML79" s="59"/>
      <x:c r="MM79" s="59"/>
      <x:c r="MN79" s="59"/>
      <x:c r="MO79" s="59"/>
      <x:c r="MP79" s="59"/>
      <x:c r="MQ79" s="59"/>
      <x:c r="MR79" s="59"/>
      <x:c r="MS79" s="59"/>
      <x:c r="MT79" s="59"/>
      <x:c r="MU79" s="59"/>
      <x:c r="MV79" s="59"/>
      <x:c r="MW79" s="59"/>
      <x:c r="MX79" s="59"/>
      <x:c r="MY79" s="59"/>
      <x:c r="MZ79" s="59"/>
      <x:c r="NA79" s="59"/>
      <x:c r="NB79" s="59"/>
      <x:c r="NC79" s="59"/>
      <x:c r="ND79" s="59"/>
      <x:c r="NE79" s="59"/>
      <x:c r="NF79" s="59"/>
      <x:c r="NG79" s="59"/>
      <x:c r="NH79" s="59"/>
      <x:c r="NI79" s="59"/>
      <x:c r="NJ79" s="59"/>
      <x:c r="NK79" s="59"/>
      <x:c r="NL79" s="59"/>
      <x:c r="NM79" s="59"/>
      <x:c r="NN79" s="59"/>
      <x:c r="NO79" s="59"/>
      <x:c r="NP79" s="59"/>
      <x:c r="NQ79" s="59"/>
      <x:c r="NR79" s="59"/>
      <x:c r="NS79" s="59"/>
      <x:c r="NT79" s="59"/>
      <x:c r="NU79" s="59"/>
      <x:c r="NV79" s="59"/>
      <x:c r="NW79" s="59"/>
      <x:c r="NX79" s="59"/>
      <x:c r="NY79" s="59"/>
      <x:c r="NZ79" s="59"/>
      <x:c r="OA79" s="59"/>
      <x:c r="OB79" s="59"/>
      <x:c r="OC79" s="59"/>
      <x:c r="OD79" s="59"/>
      <x:c r="OE79" s="59"/>
      <x:c r="OF79" s="59"/>
      <x:c r="OG79" s="59"/>
      <x:c r="OH79" s="59"/>
      <x:c r="OI79" s="59"/>
      <x:c r="OJ79" s="59"/>
      <x:c r="OK79" s="59"/>
      <x:c r="OL79" s="59"/>
      <x:c r="OM79" s="59"/>
      <x:c r="ON79" s="59"/>
      <x:c r="OO79" s="59"/>
      <x:c r="OP79" s="59"/>
      <x:c r="OQ79" s="59"/>
      <x:c r="OR79" s="59"/>
      <x:c r="OS79" s="59"/>
      <x:c r="OT79" s="59"/>
      <x:c r="OU79" s="59"/>
      <x:c r="OV79" s="59"/>
      <x:c r="OW79" s="59"/>
      <x:c r="OX79" s="59"/>
      <x:c r="OY79" s="59"/>
      <x:c r="OZ79" s="59"/>
      <x:c r="PA79" s="59"/>
      <x:c r="PB79" s="59"/>
      <x:c r="PC79" s="59"/>
      <x:c r="PD79" s="59"/>
      <x:c r="PE79" s="59"/>
      <x:c r="PF79" s="59"/>
      <x:c r="PG79" s="59"/>
      <x:c r="PH79" s="59"/>
      <x:c r="PI79" s="59"/>
      <x:c r="PJ79" s="59"/>
      <x:c r="PK79" s="59"/>
      <x:c r="PL79" s="59"/>
      <x:c r="PM79" s="59"/>
      <x:c r="PN79" s="59"/>
      <x:c r="PO79" s="59"/>
      <x:c r="PP79" s="59"/>
      <x:c r="PQ79" s="59"/>
      <x:c r="PR79" s="59"/>
      <x:c r="PS79" s="59"/>
      <x:c r="PT79" s="59"/>
      <x:c r="PU79" s="59"/>
      <x:c r="PV79" s="59"/>
      <x:c r="PW79" s="59"/>
      <x:c r="PX79" s="59"/>
      <x:c r="PY79" s="59"/>
      <x:c r="PZ79" s="59"/>
      <x:c r="QA79" s="59"/>
      <x:c r="QB79" s="59"/>
      <x:c r="QC79" s="59"/>
      <x:c r="QD79" s="59"/>
      <x:c r="QE79" s="59"/>
      <x:c r="QF79" s="59"/>
      <x:c r="QG79" s="59"/>
      <x:c r="QH79" s="59"/>
      <x:c r="QI79" s="59"/>
      <x:c r="QJ79" s="59"/>
      <x:c r="QK79" s="59"/>
      <x:c r="QL79" s="59"/>
      <x:c r="QM79" s="59"/>
      <x:c r="QN79" s="59"/>
      <x:c r="QO79" s="59"/>
      <x:c r="QP79" s="59"/>
      <x:c r="QQ79" s="59"/>
      <x:c r="QR79" s="59"/>
      <x:c r="QS79" s="59"/>
      <x:c r="QT79" s="59"/>
      <x:c r="QU79" s="59"/>
      <x:c r="QV79" s="59"/>
      <x:c r="QW79" s="59"/>
      <x:c r="QX79" s="59"/>
      <x:c r="QY79" s="59"/>
      <x:c r="QZ79" s="59"/>
      <x:c r="RA79" s="59"/>
      <x:c r="RB79" s="59"/>
      <x:c r="RC79" s="59"/>
      <x:c r="RD79" s="59"/>
      <x:c r="RE79" s="59"/>
      <x:c r="RF79" s="59"/>
      <x:c r="RG79" s="59"/>
      <x:c r="RH79" s="59"/>
      <x:c r="RI79" s="59"/>
      <x:c r="RJ79" s="59"/>
      <x:c r="RK79" s="59"/>
      <x:c r="RL79" s="59"/>
      <x:c r="RM79" s="59"/>
      <x:c r="RN79" s="59"/>
      <x:c r="RO79" s="59"/>
      <x:c r="RP79" s="59"/>
      <x:c r="RQ79" s="59"/>
      <x:c r="RR79" s="59"/>
      <x:c r="RS79" s="59"/>
      <x:c r="RT79" s="59"/>
      <x:c r="RU79" s="59"/>
      <x:c r="RV79" s="59"/>
      <x:c r="RW79" s="59"/>
      <x:c r="RX79" s="59"/>
      <x:c r="RY79" s="59"/>
      <x:c r="RZ79" s="59"/>
      <x:c r="SA79" s="59"/>
      <x:c r="SB79" s="59"/>
      <x:c r="SC79" s="59"/>
      <x:c r="SD79" s="59"/>
      <x:c r="SE79" s="59"/>
      <x:c r="SF79" s="59"/>
    </x:row>
    <x:row r="80" ht="27" customHeight="1">
      <x:c r="A80" s="69">
        <x:v>5</x:v>
      </x:c>
      <x:c r="B80" s="63" t="s">
        <x:v>148</x:v>
      </x:c>
      <x:c r="C80" s="63"/>
      <x:c r="D80" s="63"/>
      <x:c r="E80" s="63"/>
      <x:c r="F80" s="63" t="str">
        <x:v>Employee card, top career bar, Recent Win, Current Focus, 12-Month Production, and Weighted Score Trend background.</x:v>
      </x:c>
      <x:c r="G80" s="63"/>
      <x:c r="H80" s="63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  <x:c r="AA80" s="59"/>
      <x:c r="AB80" s="59"/>
      <x:c r="AC80" s="59"/>
      <x:c r="AD80" s="59"/>
      <x:c r="AE80" s="59"/>
      <x:c r="AF80" s="59"/>
      <x:c r="AG80" s="59"/>
      <x:c r="AH80" s="59"/>
      <x:c r="AI80" s="59"/>
      <x:c r="AJ80" s="59"/>
      <x:c r="AK80" s="59"/>
      <x:c r="AL80" s="59"/>
      <x:c r="AM80" s="59"/>
      <x:c r="AN80" s="59"/>
      <x:c r="AO80" s="59"/>
      <x:c r="AP80" s="59"/>
      <x:c r="AQ80" s="59"/>
      <x:c r="AR80" s="59"/>
      <x:c r="AS80" s="59"/>
      <x:c r="AT80" s="59"/>
      <x:c r="AU80" s="59"/>
      <x:c r="AV80" s="59"/>
      <x:c r="AW80" s="59"/>
      <x:c r="AX80" s="59"/>
      <x:c r="AY80" s="59"/>
      <x:c r="AZ80" s="59"/>
      <x:c r="BA80" s="59"/>
      <x:c r="BB80" s="59"/>
      <x:c r="BC80" s="59"/>
      <x:c r="BD80" s="59"/>
      <x:c r="BE80" s="59"/>
      <x:c r="BF80" s="59"/>
      <x:c r="BG80" s="59"/>
      <x:c r="BH80" s="59"/>
      <x:c r="BI80" s="59"/>
      <x:c r="BJ80" s="59"/>
      <x:c r="BK80" s="59"/>
      <x:c r="BL80" s="59"/>
      <x:c r="BM80" s="59"/>
      <x:c r="BN80" s="59"/>
      <x:c r="BO80" s="59"/>
      <x:c r="BP80" s="59"/>
      <x:c r="BQ80" s="59"/>
      <x:c r="BR80" s="59"/>
      <x:c r="BS80" s="59"/>
      <x:c r="BT80" s="59"/>
      <x:c r="BU80" s="59"/>
      <x:c r="BV80" s="59"/>
      <x:c r="BW80" s="59"/>
      <x:c r="BX80" s="59"/>
      <x:c r="BY80" s="59"/>
      <x:c r="BZ80" s="59"/>
      <x:c r="CA80" s="59"/>
      <x:c r="CB80" s="59"/>
      <x:c r="CC80" s="59"/>
      <x:c r="CD80" s="59"/>
      <x:c r="CE80" s="59"/>
      <x:c r="CF80" s="59"/>
      <x:c r="CG80" s="59"/>
      <x:c r="CH80" s="59"/>
      <x:c r="CI80" s="59"/>
      <x:c r="CJ80" s="59"/>
      <x:c r="CK80" s="59"/>
      <x:c r="CL80" s="59"/>
      <x:c r="CM80" s="59"/>
      <x:c r="CN80" s="59"/>
      <x:c r="CO80" s="59"/>
      <x:c r="CP80" s="59"/>
      <x:c r="CQ80" s="59"/>
      <x:c r="CR80" s="59"/>
      <x:c r="CS80" s="59"/>
      <x:c r="CT80" s="59"/>
      <x:c r="CU80" s="59"/>
      <x:c r="CV80" s="59"/>
      <x:c r="CW80" s="59"/>
      <x:c r="CX80" s="59"/>
      <x:c r="CY80" s="59"/>
      <x:c r="CZ80" s="59"/>
      <x:c r="DA80" s="59"/>
      <x:c r="DB80" s="59"/>
      <x:c r="DC80" s="59"/>
      <x:c r="DD80" s="59"/>
      <x:c r="DE80" s="59"/>
      <x:c r="DF80" s="59"/>
      <x:c r="DG80" s="59"/>
      <x:c r="DH80" s="59"/>
      <x:c r="DI80" s="59"/>
      <x:c r="DJ80" s="59"/>
      <x:c r="DK80" s="59"/>
      <x:c r="DL80" s="59"/>
      <x:c r="DM80" s="59"/>
      <x:c r="DN80" s="59"/>
      <x:c r="DO80" s="59"/>
      <x:c r="DP80" s="59"/>
      <x:c r="DQ80" s="59"/>
      <x:c r="DR80" s="59"/>
      <x:c r="DS80" s="59"/>
      <x:c r="DT80" s="59"/>
      <x:c r="DU80" s="59"/>
      <x:c r="DV80" s="59"/>
      <x:c r="DW80" s="59"/>
      <x:c r="DX80" s="59"/>
      <x:c r="DY80" s="59"/>
      <x:c r="DZ80" s="59"/>
      <x:c r="EA80" s="59"/>
      <x:c r="EB80" s="59"/>
      <x:c r="EC80" s="59"/>
      <x:c r="ED80" s="59"/>
      <x:c r="EE80" s="59"/>
      <x:c r="EF80" s="59"/>
      <x:c r="EG80" s="59"/>
      <x:c r="EH80" s="59"/>
      <x:c r="EI80" s="59"/>
      <x:c r="EJ80" s="59"/>
      <x:c r="EK80" s="59"/>
      <x:c r="EL80" s="59"/>
      <x:c r="EM80" s="59"/>
      <x:c r="EN80" s="59"/>
      <x:c r="EO80" s="59"/>
      <x:c r="EP80" s="59"/>
      <x:c r="EQ80" s="59"/>
      <x:c r="ER80" s="59"/>
      <x:c r="ES80" s="59"/>
      <x:c r="ET80" s="59"/>
      <x:c r="EU80" s="59"/>
      <x:c r="EV80" s="59"/>
      <x:c r="EW80" s="59"/>
      <x:c r="EX80" s="59"/>
      <x:c r="EY80" s="59"/>
      <x:c r="EZ80" s="59"/>
      <x:c r="FA80" s="59"/>
      <x:c r="FB80" s="59"/>
      <x:c r="FC80" s="59"/>
      <x:c r="FD80" s="59"/>
      <x:c r="FE80" s="59"/>
      <x:c r="FF80" s="59"/>
      <x:c r="FG80" s="59"/>
      <x:c r="FH80" s="59"/>
      <x:c r="FI80" s="59"/>
      <x:c r="FJ80" s="59"/>
      <x:c r="FK80" s="59"/>
      <x:c r="FL80" s="59"/>
      <x:c r="FM80" s="59"/>
      <x:c r="FN80" s="59"/>
      <x:c r="FO80" s="59"/>
      <x:c r="FP80" s="59"/>
      <x:c r="FQ80" s="59"/>
      <x:c r="FR80" s="59"/>
      <x:c r="FS80" s="59"/>
      <x:c r="FT80" s="59"/>
      <x:c r="FU80" s="59"/>
      <x:c r="FV80" s="59"/>
      <x:c r="FW80" s="59"/>
      <x:c r="FX80" s="59"/>
      <x:c r="FY80" s="59"/>
      <x:c r="FZ80" s="59"/>
      <x:c r="GA80" s="59"/>
      <x:c r="GB80" s="59"/>
      <x:c r="GC80" s="59"/>
      <x:c r="GD80" s="59"/>
      <x:c r="GE80" s="59"/>
      <x:c r="GF80" s="59"/>
      <x:c r="GG80" s="59"/>
      <x:c r="GH80" s="59"/>
      <x:c r="GI80" s="59"/>
      <x:c r="GJ80" s="59"/>
      <x:c r="GK80" s="59"/>
      <x:c r="GL80" s="59"/>
      <x:c r="GM80" s="59"/>
      <x:c r="GN80" s="59"/>
      <x:c r="GO80" s="59"/>
      <x:c r="GP80" s="59"/>
      <x:c r="GQ80" s="59"/>
      <x:c r="GR80" s="59"/>
      <x:c r="GS80" s="59"/>
      <x:c r="GT80" s="59"/>
      <x:c r="GU80" s="59"/>
      <x:c r="GV80" s="59"/>
      <x:c r="GW80" s="59"/>
      <x:c r="GX80" s="59"/>
      <x:c r="GY80" s="59"/>
      <x:c r="GZ80" s="59"/>
      <x:c r="HA80" s="59"/>
      <x:c r="HB80" s="59"/>
      <x:c r="HC80" s="59"/>
      <x:c r="HD80" s="59"/>
      <x:c r="HE80" s="59"/>
      <x:c r="HF80" s="59"/>
      <x:c r="HG80" s="59"/>
      <x:c r="HH80" s="59"/>
      <x:c r="HI80" s="59"/>
      <x:c r="HJ80" s="59"/>
      <x:c r="HK80" s="59"/>
      <x:c r="HL80" s="59"/>
      <x:c r="HM80" s="59"/>
      <x:c r="HN80" s="59"/>
      <x:c r="HO80" s="59"/>
      <x:c r="HP80" s="59"/>
      <x:c r="HQ80" s="59"/>
      <x:c r="HR80" s="59"/>
      <x:c r="HS80" s="59"/>
      <x:c r="HT80" s="59"/>
      <x:c r="HU80" s="59"/>
      <x:c r="HV80" s="59"/>
      <x:c r="HW80" s="59"/>
      <x:c r="HX80" s="59"/>
      <x:c r="HY80" s="59"/>
      <x:c r="HZ80" s="59"/>
      <x:c r="IA80" s="59"/>
      <x:c r="IB80" s="59"/>
      <x:c r="IC80" s="59"/>
      <x:c r="ID80" s="59"/>
      <x:c r="IE80" s="59"/>
      <x:c r="IF80" s="59"/>
      <x:c r="IG80" s="59"/>
      <x:c r="IH80" s="59"/>
      <x:c r="II80" s="59"/>
      <x:c r="IJ80" s="59"/>
      <x:c r="IK80" s="59"/>
      <x:c r="IL80" s="59"/>
      <x:c r="IM80" s="59"/>
      <x:c r="IN80" s="59"/>
      <x:c r="IO80" s="59"/>
      <x:c r="IP80" s="59"/>
      <x:c r="IQ80" s="59"/>
      <x:c r="IR80" s="59"/>
      <x:c r="IS80" s="59"/>
      <x:c r="IT80" s="59"/>
      <x:c r="IU80" s="59"/>
      <x:c r="IV80" s="59"/>
      <x:c r="IW80" s="59"/>
      <x:c r="IX80" s="59"/>
      <x:c r="IY80" s="59"/>
      <x:c r="IZ80" s="59"/>
      <x:c r="JA80" s="59"/>
      <x:c r="JB80" s="59"/>
      <x:c r="JC80" s="59"/>
      <x:c r="JD80" s="59"/>
      <x:c r="JE80" s="59"/>
      <x:c r="JF80" s="59"/>
      <x:c r="JG80" s="59"/>
      <x:c r="JH80" s="59"/>
      <x:c r="JI80" s="59"/>
      <x:c r="JJ80" s="59"/>
      <x:c r="JK80" s="59"/>
      <x:c r="JL80" s="59"/>
      <x:c r="JM80" s="59"/>
      <x:c r="JN80" s="59"/>
      <x:c r="JO80" s="59"/>
      <x:c r="JP80" s="59"/>
      <x:c r="JQ80" s="59"/>
      <x:c r="JR80" s="59"/>
      <x:c r="JS80" s="59"/>
      <x:c r="JT80" s="59"/>
      <x:c r="JU80" s="59"/>
      <x:c r="JV80" s="59"/>
      <x:c r="JW80" s="59"/>
      <x:c r="JX80" s="59"/>
      <x:c r="JY80" s="59"/>
      <x:c r="JZ80" s="59"/>
      <x:c r="KA80" s="59"/>
      <x:c r="KB80" s="59"/>
      <x:c r="KC80" s="59"/>
      <x:c r="KD80" s="59"/>
      <x:c r="KE80" s="59"/>
      <x:c r="KF80" s="59"/>
      <x:c r="KG80" s="59"/>
      <x:c r="KH80" s="59"/>
      <x:c r="KI80" s="59"/>
      <x:c r="KJ80" s="59"/>
      <x:c r="KK80" s="59"/>
      <x:c r="KL80" s="59"/>
      <x:c r="KM80" s="59"/>
      <x:c r="KN80" s="59"/>
      <x:c r="KO80" s="59"/>
      <x:c r="KP80" s="59"/>
      <x:c r="KQ80" s="59"/>
      <x:c r="KR80" s="59"/>
      <x:c r="KS80" s="59"/>
      <x:c r="KT80" s="59"/>
      <x:c r="KU80" s="59"/>
      <x:c r="KV80" s="59"/>
      <x:c r="KW80" s="59"/>
      <x:c r="KX80" s="59"/>
      <x:c r="KY80" s="59"/>
      <x:c r="KZ80" s="59"/>
      <x:c r="LA80" s="59"/>
      <x:c r="LB80" s="59"/>
      <x:c r="LC80" s="59"/>
      <x:c r="LD80" s="59"/>
      <x:c r="LE80" s="59"/>
      <x:c r="LF80" s="59"/>
      <x:c r="LG80" s="59"/>
      <x:c r="LH80" s="59"/>
      <x:c r="LI80" s="59"/>
      <x:c r="LJ80" s="59"/>
      <x:c r="LK80" s="59"/>
      <x:c r="LL80" s="59"/>
      <x:c r="LM80" s="59"/>
      <x:c r="LN80" s="59"/>
      <x:c r="LO80" s="59"/>
      <x:c r="LP80" s="59"/>
      <x:c r="LQ80" s="59"/>
      <x:c r="LR80" s="59"/>
      <x:c r="LS80" s="59"/>
      <x:c r="LT80" s="59"/>
      <x:c r="LU80" s="59"/>
      <x:c r="LV80" s="59"/>
      <x:c r="LW80" s="59"/>
      <x:c r="LX80" s="59"/>
      <x:c r="LY80" s="59"/>
      <x:c r="LZ80" s="59"/>
      <x:c r="MA80" s="59"/>
      <x:c r="MB80" s="59"/>
      <x:c r="MC80" s="59"/>
      <x:c r="MD80" s="59"/>
      <x:c r="ME80" s="59"/>
      <x:c r="MF80" s="59"/>
      <x:c r="MG80" s="59"/>
      <x:c r="MH80" s="59"/>
      <x:c r="MI80" s="59"/>
      <x:c r="MJ80" s="59"/>
      <x:c r="MK80" s="59"/>
      <x:c r="ML80" s="59"/>
      <x:c r="MM80" s="59"/>
      <x:c r="MN80" s="59"/>
      <x:c r="MO80" s="59"/>
      <x:c r="MP80" s="59"/>
      <x:c r="MQ80" s="59"/>
      <x:c r="MR80" s="59"/>
      <x:c r="MS80" s="59"/>
      <x:c r="MT80" s="59"/>
      <x:c r="MU80" s="59"/>
      <x:c r="MV80" s="59"/>
      <x:c r="MW80" s="59"/>
      <x:c r="MX80" s="59"/>
      <x:c r="MY80" s="59"/>
      <x:c r="MZ80" s="59"/>
      <x:c r="NA80" s="59"/>
      <x:c r="NB80" s="59"/>
      <x:c r="NC80" s="59"/>
      <x:c r="ND80" s="59"/>
      <x:c r="NE80" s="59"/>
      <x:c r="NF80" s="59"/>
      <x:c r="NG80" s="59"/>
      <x:c r="NH80" s="59"/>
      <x:c r="NI80" s="59"/>
      <x:c r="NJ80" s="59"/>
      <x:c r="NK80" s="59"/>
      <x:c r="NL80" s="59"/>
      <x:c r="NM80" s="59"/>
      <x:c r="NN80" s="59"/>
      <x:c r="NO80" s="59"/>
      <x:c r="NP80" s="59"/>
      <x:c r="NQ80" s="59"/>
      <x:c r="NR80" s="59"/>
      <x:c r="NS80" s="59"/>
      <x:c r="NT80" s="59"/>
      <x:c r="NU80" s="59"/>
      <x:c r="NV80" s="59"/>
      <x:c r="NW80" s="59"/>
      <x:c r="NX80" s="59"/>
      <x:c r="NY80" s="59"/>
      <x:c r="NZ80" s="59"/>
      <x:c r="OA80" s="59"/>
      <x:c r="OB80" s="59"/>
      <x:c r="OC80" s="59"/>
      <x:c r="OD80" s="59"/>
      <x:c r="OE80" s="59"/>
      <x:c r="OF80" s="59"/>
      <x:c r="OG80" s="59"/>
      <x:c r="OH80" s="59"/>
      <x:c r="OI80" s="59"/>
      <x:c r="OJ80" s="59"/>
      <x:c r="OK80" s="59"/>
      <x:c r="OL80" s="59"/>
      <x:c r="OM80" s="59"/>
      <x:c r="ON80" s="59"/>
      <x:c r="OO80" s="59"/>
      <x:c r="OP80" s="59"/>
      <x:c r="OQ80" s="59"/>
      <x:c r="OR80" s="59"/>
      <x:c r="OS80" s="59"/>
      <x:c r="OT80" s="59"/>
      <x:c r="OU80" s="59"/>
      <x:c r="OV80" s="59"/>
      <x:c r="OW80" s="59"/>
      <x:c r="OX80" s="59"/>
      <x:c r="OY80" s="59"/>
      <x:c r="OZ80" s="59"/>
      <x:c r="PA80" s="59"/>
      <x:c r="PB80" s="59"/>
      <x:c r="PC80" s="59"/>
      <x:c r="PD80" s="59"/>
      <x:c r="PE80" s="59"/>
      <x:c r="PF80" s="59"/>
      <x:c r="PG80" s="59"/>
      <x:c r="PH80" s="59"/>
      <x:c r="PI80" s="59"/>
      <x:c r="PJ80" s="59"/>
      <x:c r="PK80" s="59"/>
      <x:c r="PL80" s="59"/>
      <x:c r="PM80" s="59"/>
      <x:c r="PN80" s="59"/>
      <x:c r="PO80" s="59"/>
      <x:c r="PP80" s="59"/>
      <x:c r="PQ80" s="59"/>
      <x:c r="PR80" s="59"/>
      <x:c r="PS80" s="59"/>
      <x:c r="PT80" s="59"/>
      <x:c r="PU80" s="59"/>
      <x:c r="PV80" s="59"/>
      <x:c r="PW80" s="59"/>
      <x:c r="PX80" s="59"/>
      <x:c r="PY80" s="59"/>
      <x:c r="PZ80" s="59"/>
      <x:c r="QA80" s="59"/>
      <x:c r="QB80" s="59"/>
      <x:c r="QC80" s="59"/>
      <x:c r="QD80" s="59"/>
      <x:c r="QE80" s="59"/>
      <x:c r="QF80" s="59"/>
      <x:c r="QG80" s="59"/>
      <x:c r="QH80" s="59"/>
      <x:c r="QI80" s="59"/>
      <x:c r="QJ80" s="59"/>
      <x:c r="QK80" s="59"/>
      <x:c r="QL80" s="59"/>
      <x:c r="QM80" s="59"/>
      <x:c r="QN80" s="59"/>
      <x:c r="QO80" s="59"/>
      <x:c r="QP80" s="59"/>
      <x:c r="QQ80" s="59"/>
      <x:c r="QR80" s="59"/>
      <x:c r="QS80" s="59"/>
      <x:c r="QT80" s="59"/>
      <x:c r="QU80" s="59"/>
      <x:c r="QV80" s="59"/>
      <x:c r="QW80" s="59"/>
      <x:c r="QX80" s="59"/>
      <x:c r="QY80" s="59"/>
      <x:c r="QZ80" s="59"/>
      <x:c r="RA80" s="59"/>
      <x:c r="RB80" s="59"/>
      <x:c r="RC80" s="59"/>
      <x:c r="RD80" s="59"/>
      <x:c r="RE80" s="59"/>
      <x:c r="RF80" s="59"/>
      <x:c r="RG80" s="59"/>
      <x:c r="RH80" s="59"/>
      <x:c r="RI80" s="59"/>
      <x:c r="RJ80" s="59"/>
      <x:c r="RK80" s="59"/>
      <x:c r="RL80" s="59"/>
      <x:c r="RM80" s="59"/>
      <x:c r="RN80" s="59"/>
      <x:c r="RO80" s="59"/>
      <x:c r="RP80" s="59"/>
      <x:c r="RQ80" s="59"/>
      <x:c r="RR80" s="59"/>
      <x:c r="RS80" s="59"/>
      <x:c r="RT80" s="59"/>
      <x:c r="RU80" s="59"/>
      <x:c r="RV80" s="59"/>
      <x:c r="RW80" s="59"/>
      <x:c r="RX80" s="59"/>
      <x:c r="RY80" s="59"/>
      <x:c r="RZ80" s="59"/>
      <x:c r="SA80" s="59"/>
      <x:c r="SB80" s="59"/>
      <x:c r="SC80" s="59"/>
      <x:c r="SD80" s="59"/>
      <x:c r="SE80" s="59"/>
      <x:c r="SF80" s="59"/>
    </x:row>
    <x:row r="81" ht="27" customHeight="1">
      <x:c r="A81" s="69">
        <x:v>6</x:v>
      </x:c>
      <x:c r="B81" s="63" t="s">
        <x:v>149</x:v>
      </x:c>
      <x:c r="C81" s="63"/>
      <x:c r="D81" s="63"/>
      <x:c r="E81" s="63"/>
      <x:c r="F81" s="63" t="s">
        <x:v>150</x:v>
      </x:c>
      <x:c r="G81" s="63"/>
      <x:c r="H81" s="63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  <x:c r="AA81" s="59"/>
      <x:c r="AB81" s="59"/>
      <x:c r="AC81" s="59"/>
      <x:c r="AD81" s="59"/>
      <x:c r="AE81" s="59"/>
      <x:c r="AF81" s="59"/>
      <x:c r="AG81" s="59"/>
      <x:c r="AH81" s="59"/>
      <x:c r="AI81" s="59"/>
      <x:c r="AJ81" s="59"/>
      <x:c r="AK81" s="59"/>
      <x:c r="AL81" s="59"/>
      <x:c r="AM81" s="59"/>
      <x:c r="AN81" s="59"/>
      <x:c r="AO81" s="59"/>
      <x:c r="AP81" s="59"/>
      <x:c r="AQ81" s="59"/>
      <x:c r="AR81" s="59"/>
      <x:c r="AS81" s="59"/>
      <x:c r="AT81" s="59"/>
      <x:c r="AU81" s="59"/>
      <x:c r="AV81" s="59"/>
      <x:c r="AW81" s="59"/>
      <x:c r="AX81" s="59"/>
      <x:c r="AY81" s="59"/>
      <x:c r="AZ81" s="59"/>
      <x:c r="BA81" s="59"/>
      <x:c r="BB81" s="59"/>
      <x:c r="BC81" s="59"/>
      <x:c r="BD81" s="59"/>
      <x:c r="BE81" s="59"/>
      <x:c r="BF81" s="59"/>
      <x:c r="BG81" s="59"/>
      <x:c r="BH81" s="59"/>
      <x:c r="BI81" s="59"/>
      <x:c r="BJ81" s="59"/>
      <x:c r="BK81" s="59"/>
      <x:c r="BL81" s="59"/>
      <x:c r="BM81" s="59"/>
      <x:c r="BN81" s="59"/>
      <x:c r="BO81" s="59"/>
      <x:c r="BP81" s="59"/>
      <x:c r="BQ81" s="59"/>
      <x:c r="BR81" s="59"/>
      <x:c r="BS81" s="59"/>
      <x:c r="BT81" s="59"/>
      <x:c r="BU81" s="59"/>
      <x:c r="BV81" s="59"/>
      <x:c r="BW81" s="59"/>
      <x:c r="BX81" s="59"/>
      <x:c r="BY81" s="59"/>
      <x:c r="BZ81" s="59"/>
      <x:c r="CA81" s="59"/>
      <x:c r="CB81" s="59"/>
      <x:c r="CC81" s="59"/>
      <x:c r="CD81" s="59"/>
      <x:c r="CE81" s="59"/>
      <x:c r="CF81" s="59"/>
      <x:c r="CG81" s="59"/>
      <x:c r="CH81" s="59"/>
      <x:c r="CI81" s="59"/>
      <x:c r="CJ81" s="59"/>
      <x:c r="CK81" s="59"/>
      <x:c r="CL81" s="59"/>
      <x:c r="CM81" s="59"/>
      <x:c r="CN81" s="59"/>
      <x:c r="CO81" s="59"/>
      <x:c r="CP81" s="59"/>
      <x:c r="CQ81" s="59"/>
      <x:c r="CR81" s="59"/>
      <x:c r="CS81" s="59"/>
      <x:c r="CT81" s="59"/>
      <x:c r="CU81" s="59"/>
      <x:c r="CV81" s="59"/>
      <x:c r="CW81" s="59"/>
      <x:c r="CX81" s="59"/>
      <x:c r="CY81" s="59"/>
      <x:c r="CZ81" s="59"/>
      <x:c r="DA81" s="59"/>
      <x:c r="DB81" s="59"/>
      <x:c r="DC81" s="59"/>
      <x:c r="DD81" s="59"/>
      <x:c r="DE81" s="59"/>
      <x:c r="DF81" s="59"/>
      <x:c r="DG81" s="59"/>
      <x:c r="DH81" s="59"/>
      <x:c r="DI81" s="59"/>
      <x:c r="DJ81" s="59"/>
      <x:c r="DK81" s="59"/>
      <x:c r="DL81" s="59"/>
      <x:c r="DM81" s="59"/>
      <x:c r="DN81" s="59"/>
      <x:c r="DO81" s="59"/>
      <x:c r="DP81" s="59"/>
      <x:c r="DQ81" s="59"/>
      <x:c r="DR81" s="59"/>
      <x:c r="DS81" s="59"/>
      <x:c r="DT81" s="59"/>
      <x:c r="DU81" s="59"/>
      <x:c r="DV81" s="59"/>
      <x:c r="DW81" s="59"/>
      <x:c r="DX81" s="59"/>
      <x:c r="DY81" s="59"/>
      <x:c r="DZ81" s="59"/>
      <x:c r="EA81" s="59"/>
      <x:c r="EB81" s="59"/>
      <x:c r="EC81" s="59"/>
      <x:c r="ED81" s="59"/>
      <x:c r="EE81" s="59"/>
      <x:c r="EF81" s="59"/>
      <x:c r="EG81" s="59"/>
      <x:c r="EH81" s="59"/>
      <x:c r="EI81" s="59"/>
      <x:c r="EJ81" s="59"/>
      <x:c r="EK81" s="59"/>
      <x:c r="EL81" s="59"/>
      <x:c r="EM81" s="59"/>
      <x:c r="EN81" s="59"/>
      <x:c r="EO81" s="59"/>
      <x:c r="EP81" s="59"/>
      <x:c r="EQ81" s="59"/>
      <x:c r="ER81" s="59"/>
      <x:c r="ES81" s="59"/>
      <x:c r="ET81" s="59"/>
      <x:c r="EU81" s="59"/>
      <x:c r="EV81" s="59"/>
      <x:c r="EW81" s="59"/>
      <x:c r="EX81" s="59"/>
      <x:c r="EY81" s="59"/>
      <x:c r="EZ81" s="59"/>
      <x:c r="FA81" s="59"/>
      <x:c r="FB81" s="59"/>
      <x:c r="FC81" s="59"/>
      <x:c r="FD81" s="59"/>
      <x:c r="FE81" s="59"/>
      <x:c r="FF81" s="59"/>
      <x:c r="FG81" s="59"/>
      <x:c r="FH81" s="59"/>
      <x:c r="FI81" s="59"/>
      <x:c r="FJ81" s="59"/>
      <x:c r="FK81" s="59"/>
      <x:c r="FL81" s="59"/>
      <x:c r="FM81" s="59"/>
      <x:c r="FN81" s="59"/>
      <x:c r="FO81" s="59"/>
      <x:c r="FP81" s="59"/>
      <x:c r="FQ81" s="59"/>
      <x:c r="FR81" s="59"/>
      <x:c r="FS81" s="59"/>
      <x:c r="FT81" s="59"/>
      <x:c r="FU81" s="59"/>
      <x:c r="FV81" s="59"/>
      <x:c r="FW81" s="59"/>
      <x:c r="FX81" s="59"/>
      <x:c r="FY81" s="59"/>
      <x:c r="FZ81" s="59"/>
      <x:c r="GA81" s="59"/>
      <x:c r="GB81" s="59"/>
      <x:c r="GC81" s="59"/>
      <x:c r="GD81" s="59"/>
      <x:c r="GE81" s="59"/>
      <x:c r="GF81" s="59"/>
      <x:c r="GG81" s="59"/>
      <x:c r="GH81" s="59"/>
      <x:c r="GI81" s="59"/>
      <x:c r="GJ81" s="59"/>
      <x:c r="GK81" s="59"/>
      <x:c r="GL81" s="59"/>
      <x:c r="GM81" s="59"/>
      <x:c r="GN81" s="59"/>
      <x:c r="GO81" s="59"/>
      <x:c r="GP81" s="59"/>
      <x:c r="GQ81" s="59"/>
      <x:c r="GR81" s="59"/>
      <x:c r="GS81" s="59"/>
      <x:c r="GT81" s="59"/>
      <x:c r="GU81" s="59"/>
      <x:c r="GV81" s="59"/>
      <x:c r="GW81" s="59"/>
      <x:c r="GX81" s="59"/>
      <x:c r="GY81" s="59"/>
      <x:c r="GZ81" s="59"/>
      <x:c r="HA81" s="59"/>
      <x:c r="HB81" s="59"/>
      <x:c r="HC81" s="59"/>
      <x:c r="HD81" s="59"/>
      <x:c r="HE81" s="59"/>
      <x:c r="HF81" s="59"/>
      <x:c r="HG81" s="59"/>
      <x:c r="HH81" s="59"/>
      <x:c r="HI81" s="59"/>
      <x:c r="HJ81" s="59"/>
      <x:c r="HK81" s="59"/>
      <x:c r="HL81" s="59"/>
      <x:c r="HM81" s="59"/>
      <x:c r="HN81" s="59"/>
      <x:c r="HO81" s="59"/>
      <x:c r="HP81" s="59"/>
      <x:c r="HQ81" s="59"/>
      <x:c r="HR81" s="59"/>
      <x:c r="HS81" s="59"/>
      <x:c r="HT81" s="59"/>
      <x:c r="HU81" s="59"/>
      <x:c r="HV81" s="59"/>
      <x:c r="HW81" s="59"/>
      <x:c r="HX81" s="59"/>
      <x:c r="HY81" s="59"/>
      <x:c r="HZ81" s="59"/>
      <x:c r="IA81" s="59"/>
      <x:c r="IB81" s="59"/>
      <x:c r="IC81" s="59"/>
      <x:c r="ID81" s="59"/>
      <x:c r="IE81" s="59"/>
      <x:c r="IF81" s="59"/>
      <x:c r="IG81" s="59"/>
      <x:c r="IH81" s="59"/>
      <x:c r="II81" s="59"/>
      <x:c r="IJ81" s="59"/>
      <x:c r="IK81" s="59"/>
      <x:c r="IL81" s="59"/>
      <x:c r="IM81" s="59"/>
      <x:c r="IN81" s="59"/>
      <x:c r="IO81" s="59"/>
      <x:c r="IP81" s="59"/>
      <x:c r="IQ81" s="59"/>
      <x:c r="IR81" s="59"/>
      <x:c r="IS81" s="59"/>
      <x:c r="IT81" s="59"/>
      <x:c r="IU81" s="59"/>
      <x:c r="IV81" s="59"/>
      <x:c r="IW81" s="59"/>
      <x:c r="IX81" s="59"/>
      <x:c r="IY81" s="59"/>
      <x:c r="IZ81" s="59"/>
      <x:c r="JA81" s="59"/>
      <x:c r="JB81" s="59"/>
      <x:c r="JC81" s="59"/>
      <x:c r="JD81" s="59"/>
      <x:c r="JE81" s="59"/>
      <x:c r="JF81" s="59"/>
      <x:c r="JG81" s="59"/>
      <x:c r="JH81" s="59"/>
      <x:c r="JI81" s="59"/>
      <x:c r="JJ81" s="59"/>
      <x:c r="JK81" s="59"/>
      <x:c r="JL81" s="59"/>
      <x:c r="JM81" s="59"/>
      <x:c r="JN81" s="59"/>
      <x:c r="JO81" s="59"/>
      <x:c r="JP81" s="59"/>
      <x:c r="JQ81" s="59"/>
      <x:c r="JR81" s="59"/>
      <x:c r="JS81" s="59"/>
      <x:c r="JT81" s="59"/>
      <x:c r="JU81" s="59"/>
      <x:c r="JV81" s="59"/>
      <x:c r="JW81" s="59"/>
      <x:c r="JX81" s="59"/>
      <x:c r="JY81" s="59"/>
      <x:c r="JZ81" s="59"/>
      <x:c r="KA81" s="59"/>
      <x:c r="KB81" s="59"/>
      <x:c r="KC81" s="59"/>
      <x:c r="KD81" s="59"/>
      <x:c r="KE81" s="59"/>
      <x:c r="KF81" s="59"/>
      <x:c r="KG81" s="59"/>
      <x:c r="KH81" s="59"/>
      <x:c r="KI81" s="59"/>
      <x:c r="KJ81" s="59"/>
      <x:c r="KK81" s="59"/>
      <x:c r="KL81" s="59"/>
      <x:c r="KM81" s="59"/>
      <x:c r="KN81" s="59"/>
      <x:c r="KO81" s="59"/>
      <x:c r="KP81" s="59"/>
      <x:c r="KQ81" s="59"/>
      <x:c r="KR81" s="59"/>
      <x:c r="KS81" s="59"/>
      <x:c r="KT81" s="59"/>
      <x:c r="KU81" s="59"/>
      <x:c r="KV81" s="59"/>
      <x:c r="KW81" s="59"/>
      <x:c r="KX81" s="59"/>
      <x:c r="KY81" s="59"/>
      <x:c r="KZ81" s="59"/>
      <x:c r="LA81" s="59"/>
      <x:c r="LB81" s="59"/>
      <x:c r="LC81" s="59"/>
      <x:c r="LD81" s="59"/>
      <x:c r="LE81" s="59"/>
      <x:c r="LF81" s="59"/>
      <x:c r="LG81" s="59"/>
      <x:c r="LH81" s="59"/>
      <x:c r="LI81" s="59"/>
      <x:c r="LJ81" s="59"/>
      <x:c r="LK81" s="59"/>
      <x:c r="LL81" s="59"/>
      <x:c r="LM81" s="59"/>
      <x:c r="LN81" s="59"/>
      <x:c r="LO81" s="59"/>
      <x:c r="LP81" s="59"/>
      <x:c r="LQ81" s="59"/>
      <x:c r="LR81" s="59"/>
      <x:c r="LS81" s="59"/>
      <x:c r="LT81" s="59"/>
      <x:c r="LU81" s="59"/>
      <x:c r="LV81" s="59"/>
      <x:c r="LW81" s="59"/>
      <x:c r="LX81" s="59"/>
      <x:c r="LY81" s="59"/>
      <x:c r="LZ81" s="59"/>
      <x:c r="MA81" s="59"/>
      <x:c r="MB81" s="59"/>
      <x:c r="MC81" s="59"/>
      <x:c r="MD81" s="59"/>
      <x:c r="ME81" s="59"/>
      <x:c r="MF81" s="59"/>
      <x:c r="MG81" s="59"/>
      <x:c r="MH81" s="59"/>
      <x:c r="MI81" s="59"/>
      <x:c r="MJ81" s="59"/>
      <x:c r="MK81" s="59"/>
      <x:c r="ML81" s="59"/>
      <x:c r="MM81" s="59"/>
      <x:c r="MN81" s="59"/>
      <x:c r="MO81" s="59"/>
      <x:c r="MP81" s="59"/>
      <x:c r="MQ81" s="59"/>
      <x:c r="MR81" s="59"/>
      <x:c r="MS81" s="59"/>
      <x:c r="MT81" s="59"/>
      <x:c r="MU81" s="59"/>
      <x:c r="MV81" s="59"/>
      <x:c r="MW81" s="59"/>
      <x:c r="MX81" s="59"/>
      <x:c r="MY81" s="59"/>
      <x:c r="MZ81" s="59"/>
      <x:c r="NA81" s="59"/>
      <x:c r="NB81" s="59"/>
      <x:c r="NC81" s="59"/>
      <x:c r="ND81" s="59"/>
      <x:c r="NE81" s="59"/>
      <x:c r="NF81" s="59"/>
      <x:c r="NG81" s="59"/>
      <x:c r="NH81" s="59"/>
      <x:c r="NI81" s="59"/>
      <x:c r="NJ81" s="59"/>
      <x:c r="NK81" s="59"/>
      <x:c r="NL81" s="59"/>
      <x:c r="NM81" s="59"/>
      <x:c r="NN81" s="59"/>
      <x:c r="NO81" s="59"/>
      <x:c r="NP81" s="59"/>
      <x:c r="NQ81" s="59"/>
      <x:c r="NR81" s="59"/>
      <x:c r="NS81" s="59"/>
      <x:c r="NT81" s="59"/>
      <x:c r="NU81" s="59"/>
      <x:c r="NV81" s="59"/>
      <x:c r="NW81" s="59"/>
      <x:c r="NX81" s="59"/>
      <x:c r="NY81" s="59"/>
      <x:c r="NZ81" s="59"/>
      <x:c r="OA81" s="59"/>
      <x:c r="OB81" s="59"/>
      <x:c r="OC81" s="59"/>
      <x:c r="OD81" s="59"/>
      <x:c r="OE81" s="59"/>
      <x:c r="OF81" s="59"/>
      <x:c r="OG81" s="59"/>
      <x:c r="OH81" s="59"/>
      <x:c r="OI81" s="59"/>
      <x:c r="OJ81" s="59"/>
      <x:c r="OK81" s="59"/>
      <x:c r="OL81" s="59"/>
      <x:c r="OM81" s="59"/>
      <x:c r="ON81" s="59"/>
      <x:c r="OO81" s="59"/>
      <x:c r="OP81" s="59"/>
      <x:c r="OQ81" s="59"/>
      <x:c r="OR81" s="59"/>
      <x:c r="OS81" s="59"/>
      <x:c r="OT81" s="59"/>
      <x:c r="OU81" s="59"/>
      <x:c r="OV81" s="59"/>
      <x:c r="OW81" s="59"/>
      <x:c r="OX81" s="59"/>
      <x:c r="OY81" s="59"/>
      <x:c r="OZ81" s="59"/>
      <x:c r="PA81" s="59"/>
      <x:c r="PB81" s="59"/>
      <x:c r="PC81" s="59"/>
      <x:c r="PD81" s="59"/>
      <x:c r="PE81" s="59"/>
      <x:c r="PF81" s="59"/>
      <x:c r="PG81" s="59"/>
      <x:c r="PH81" s="59"/>
      <x:c r="PI81" s="59"/>
      <x:c r="PJ81" s="59"/>
      <x:c r="PK81" s="59"/>
      <x:c r="PL81" s="59"/>
      <x:c r="PM81" s="59"/>
      <x:c r="PN81" s="59"/>
      <x:c r="PO81" s="59"/>
      <x:c r="PP81" s="59"/>
      <x:c r="PQ81" s="59"/>
      <x:c r="PR81" s="59"/>
      <x:c r="PS81" s="59"/>
      <x:c r="PT81" s="59"/>
      <x:c r="PU81" s="59"/>
      <x:c r="PV81" s="59"/>
      <x:c r="PW81" s="59"/>
      <x:c r="PX81" s="59"/>
      <x:c r="PY81" s="59"/>
      <x:c r="PZ81" s="59"/>
      <x:c r="QA81" s="59"/>
      <x:c r="QB81" s="59"/>
      <x:c r="QC81" s="59"/>
      <x:c r="QD81" s="59"/>
      <x:c r="QE81" s="59"/>
      <x:c r="QF81" s="59"/>
      <x:c r="QG81" s="59"/>
      <x:c r="QH81" s="59"/>
      <x:c r="QI81" s="59"/>
      <x:c r="QJ81" s="59"/>
      <x:c r="QK81" s="59"/>
      <x:c r="QL81" s="59"/>
      <x:c r="QM81" s="59"/>
      <x:c r="QN81" s="59"/>
      <x:c r="QO81" s="59"/>
      <x:c r="QP81" s="59"/>
      <x:c r="QQ81" s="59"/>
      <x:c r="QR81" s="59"/>
      <x:c r="QS81" s="59"/>
      <x:c r="QT81" s="59"/>
      <x:c r="QU81" s="59"/>
      <x:c r="QV81" s="59"/>
      <x:c r="QW81" s="59"/>
      <x:c r="QX81" s="59"/>
      <x:c r="QY81" s="59"/>
      <x:c r="QZ81" s="59"/>
      <x:c r="RA81" s="59"/>
      <x:c r="RB81" s="59"/>
      <x:c r="RC81" s="59"/>
      <x:c r="RD81" s="59"/>
      <x:c r="RE81" s="59"/>
      <x:c r="RF81" s="59"/>
      <x:c r="RG81" s="59"/>
      <x:c r="RH81" s="59"/>
      <x:c r="RI81" s="59"/>
      <x:c r="RJ81" s="59"/>
      <x:c r="RK81" s="59"/>
      <x:c r="RL81" s="59"/>
      <x:c r="RM81" s="59"/>
      <x:c r="RN81" s="59"/>
      <x:c r="RO81" s="59"/>
      <x:c r="RP81" s="59"/>
      <x:c r="RQ81" s="59"/>
      <x:c r="RR81" s="59"/>
      <x:c r="RS81" s="59"/>
      <x:c r="RT81" s="59"/>
      <x:c r="RU81" s="59"/>
      <x:c r="RV81" s="59"/>
      <x:c r="RW81" s="59"/>
      <x:c r="RX81" s="59"/>
      <x:c r="RY81" s="59"/>
      <x:c r="RZ81" s="59"/>
      <x:c r="SA81" s="59"/>
      <x:c r="SB81" s="59"/>
      <x:c r="SC81" s="59"/>
      <x:c r="SD81" s="59"/>
      <x:c r="SE81" s="59"/>
      <x:c r="SF81" s="59"/>
    </x:row>
    <x:row r="82" ht="27" customHeight="1">
      <x:c r="A82" s="69">
        <x:v>7</x:v>
      </x:c>
      <x:c r="B82" s="63" t="s">
        <x:v>151</x:v>
      </x:c>
      <x:c r="C82" s="63"/>
      <x:c r="D82" s="63"/>
      <x:c r="E82" s="63"/>
      <x:c r="F82" s="63" t="s">
        <x:v>152</x:v>
      </x:c>
      <x:c r="G82" s="63"/>
      <x:c r="H82" s="63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  <x:c r="AA82" s="59"/>
      <x:c r="AB82" s="59"/>
      <x:c r="AC82" s="59"/>
      <x:c r="AD82" s="59"/>
      <x:c r="AE82" s="59"/>
      <x:c r="AF82" s="59"/>
      <x:c r="AG82" s="59"/>
      <x:c r="AH82" s="59"/>
      <x:c r="AI82" s="59"/>
      <x:c r="AJ82" s="59"/>
      <x:c r="AK82" s="59"/>
      <x:c r="AL82" s="59"/>
      <x:c r="AM82" s="59"/>
      <x:c r="AN82" s="59"/>
      <x:c r="AO82" s="59"/>
      <x:c r="AP82" s="59"/>
      <x:c r="AQ82" s="59"/>
      <x:c r="AR82" s="59"/>
      <x:c r="AS82" s="59"/>
      <x:c r="AT82" s="59"/>
      <x:c r="AU82" s="59"/>
      <x:c r="AV82" s="59"/>
      <x:c r="AW82" s="59"/>
      <x:c r="AX82" s="59"/>
      <x:c r="AY82" s="59"/>
      <x:c r="AZ82" s="59"/>
      <x:c r="BA82" s="59"/>
      <x:c r="BB82" s="59"/>
      <x:c r="BC82" s="59"/>
      <x:c r="BD82" s="59"/>
      <x:c r="BE82" s="59"/>
      <x:c r="BF82" s="59"/>
      <x:c r="BG82" s="59"/>
      <x:c r="BH82" s="59"/>
      <x:c r="BI82" s="59"/>
      <x:c r="BJ82" s="59"/>
      <x:c r="BK82" s="59"/>
      <x:c r="BL82" s="59"/>
      <x:c r="BM82" s="59"/>
      <x:c r="BN82" s="59"/>
      <x:c r="BO82" s="59"/>
      <x:c r="BP82" s="59"/>
      <x:c r="BQ82" s="59"/>
      <x:c r="BR82" s="59"/>
      <x:c r="BS82" s="59"/>
      <x:c r="BT82" s="59"/>
      <x:c r="BU82" s="59"/>
      <x:c r="BV82" s="59"/>
      <x:c r="BW82" s="59"/>
      <x:c r="BX82" s="59"/>
      <x:c r="BY82" s="59"/>
      <x:c r="BZ82" s="59"/>
      <x:c r="CA82" s="59"/>
      <x:c r="CB82" s="59"/>
      <x:c r="CC82" s="59"/>
      <x:c r="CD82" s="59"/>
      <x:c r="CE82" s="59"/>
      <x:c r="CF82" s="59"/>
      <x:c r="CG82" s="59"/>
      <x:c r="CH82" s="59"/>
      <x:c r="CI82" s="59"/>
      <x:c r="CJ82" s="59"/>
      <x:c r="CK82" s="59"/>
      <x:c r="CL82" s="59"/>
      <x:c r="CM82" s="59"/>
      <x:c r="CN82" s="59"/>
      <x:c r="CO82" s="59"/>
      <x:c r="CP82" s="59"/>
      <x:c r="CQ82" s="59"/>
      <x:c r="CR82" s="59"/>
      <x:c r="CS82" s="59"/>
      <x:c r="CT82" s="59"/>
      <x:c r="CU82" s="59"/>
      <x:c r="CV82" s="59"/>
      <x:c r="CW82" s="59"/>
      <x:c r="CX82" s="59"/>
      <x:c r="CY82" s="59"/>
      <x:c r="CZ82" s="59"/>
      <x:c r="DA82" s="59"/>
      <x:c r="DB82" s="59"/>
      <x:c r="DC82" s="59"/>
      <x:c r="DD82" s="59"/>
      <x:c r="DE82" s="59"/>
      <x:c r="DF82" s="59"/>
      <x:c r="DG82" s="59"/>
      <x:c r="DH82" s="59"/>
      <x:c r="DI82" s="59"/>
      <x:c r="DJ82" s="59"/>
      <x:c r="DK82" s="59"/>
      <x:c r="DL82" s="59"/>
      <x:c r="DM82" s="59"/>
      <x:c r="DN82" s="59"/>
      <x:c r="DO82" s="59"/>
      <x:c r="DP82" s="59"/>
      <x:c r="DQ82" s="59"/>
      <x:c r="DR82" s="59"/>
      <x:c r="DS82" s="59"/>
      <x:c r="DT82" s="59"/>
      <x:c r="DU82" s="59"/>
      <x:c r="DV82" s="59"/>
      <x:c r="DW82" s="59"/>
      <x:c r="DX82" s="59"/>
      <x:c r="DY82" s="59"/>
      <x:c r="DZ82" s="59"/>
      <x:c r="EA82" s="59"/>
      <x:c r="EB82" s="59"/>
      <x:c r="EC82" s="59"/>
      <x:c r="ED82" s="59"/>
      <x:c r="EE82" s="59"/>
      <x:c r="EF82" s="59"/>
      <x:c r="EG82" s="59"/>
      <x:c r="EH82" s="59"/>
      <x:c r="EI82" s="59"/>
      <x:c r="EJ82" s="59"/>
      <x:c r="EK82" s="59"/>
      <x:c r="EL82" s="59"/>
      <x:c r="EM82" s="59"/>
      <x:c r="EN82" s="59"/>
      <x:c r="EO82" s="59"/>
      <x:c r="EP82" s="59"/>
      <x:c r="EQ82" s="59"/>
      <x:c r="ER82" s="59"/>
      <x:c r="ES82" s="59"/>
      <x:c r="ET82" s="59"/>
      <x:c r="EU82" s="59"/>
      <x:c r="EV82" s="59"/>
      <x:c r="EW82" s="59"/>
      <x:c r="EX82" s="59"/>
      <x:c r="EY82" s="59"/>
      <x:c r="EZ82" s="59"/>
      <x:c r="FA82" s="59"/>
      <x:c r="FB82" s="59"/>
      <x:c r="FC82" s="59"/>
      <x:c r="FD82" s="59"/>
      <x:c r="FE82" s="59"/>
      <x:c r="FF82" s="59"/>
      <x:c r="FG82" s="59"/>
      <x:c r="FH82" s="59"/>
      <x:c r="FI82" s="59"/>
      <x:c r="FJ82" s="59"/>
      <x:c r="FK82" s="59"/>
      <x:c r="FL82" s="59"/>
      <x:c r="FM82" s="59"/>
      <x:c r="FN82" s="59"/>
      <x:c r="FO82" s="59"/>
      <x:c r="FP82" s="59"/>
      <x:c r="FQ82" s="59"/>
      <x:c r="FR82" s="59"/>
      <x:c r="FS82" s="59"/>
      <x:c r="FT82" s="59"/>
      <x:c r="FU82" s="59"/>
      <x:c r="FV82" s="59"/>
      <x:c r="FW82" s="59"/>
      <x:c r="FX82" s="59"/>
      <x:c r="FY82" s="59"/>
      <x:c r="FZ82" s="59"/>
      <x:c r="GA82" s="59"/>
      <x:c r="GB82" s="59"/>
      <x:c r="GC82" s="59"/>
      <x:c r="GD82" s="59"/>
      <x:c r="GE82" s="59"/>
      <x:c r="GF82" s="59"/>
      <x:c r="GG82" s="59"/>
      <x:c r="GH82" s="59"/>
      <x:c r="GI82" s="59"/>
      <x:c r="GJ82" s="59"/>
      <x:c r="GK82" s="59"/>
      <x:c r="GL82" s="59"/>
      <x:c r="GM82" s="59"/>
      <x:c r="GN82" s="59"/>
      <x:c r="GO82" s="59"/>
      <x:c r="GP82" s="59"/>
      <x:c r="GQ82" s="59"/>
      <x:c r="GR82" s="59"/>
      <x:c r="GS82" s="59"/>
      <x:c r="GT82" s="59"/>
      <x:c r="GU82" s="59"/>
      <x:c r="GV82" s="59"/>
      <x:c r="GW82" s="59"/>
      <x:c r="GX82" s="59"/>
      <x:c r="GY82" s="59"/>
      <x:c r="GZ82" s="59"/>
      <x:c r="HA82" s="59"/>
      <x:c r="HB82" s="59"/>
      <x:c r="HC82" s="59"/>
      <x:c r="HD82" s="59"/>
      <x:c r="HE82" s="59"/>
      <x:c r="HF82" s="59"/>
      <x:c r="HG82" s="59"/>
      <x:c r="HH82" s="59"/>
      <x:c r="HI82" s="59"/>
      <x:c r="HJ82" s="59"/>
      <x:c r="HK82" s="59"/>
      <x:c r="HL82" s="59"/>
      <x:c r="HM82" s="59"/>
      <x:c r="HN82" s="59"/>
      <x:c r="HO82" s="59"/>
      <x:c r="HP82" s="59"/>
      <x:c r="HQ82" s="59"/>
      <x:c r="HR82" s="59"/>
      <x:c r="HS82" s="59"/>
      <x:c r="HT82" s="59"/>
      <x:c r="HU82" s="59"/>
      <x:c r="HV82" s="59"/>
      <x:c r="HW82" s="59"/>
      <x:c r="HX82" s="59"/>
      <x:c r="HY82" s="59"/>
      <x:c r="HZ82" s="59"/>
      <x:c r="IA82" s="59"/>
      <x:c r="IB82" s="59"/>
      <x:c r="IC82" s="59"/>
      <x:c r="ID82" s="59"/>
      <x:c r="IE82" s="59"/>
      <x:c r="IF82" s="59"/>
      <x:c r="IG82" s="59"/>
      <x:c r="IH82" s="59"/>
      <x:c r="II82" s="59"/>
      <x:c r="IJ82" s="59"/>
      <x:c r="IK82" s="59"/>
      <x:c r="IL82" s="59"/>
      <x:c r="IM82" s="59"/>
      <x:c r="IN82" s="59"/>
      <x:c r="IO82" s="59"/>
      <x:c r="IP82" s="59"/>
      <x:c r="IQ82" s="59"/>
      <x:c r="IR82" s="59"/>
      <x:c r="IS82" s="59"/>
      <x:c r="IT82" s="59"/>
      <x:c r="IU82" s="59"/>
      <x:c r="IV82" s="59"/>
      <x:c r="IW82" s="59"/>
      <x:c r="IX82" s="59"/>
      <x:c r="IY82" s="59"/>
      <x:c r="IZ82" s="59"/>
      <x:c r="JA82" s="59"/>
      <x:c r="JB82" s="59"/>
      <x:c r="JC82" s="59"/>
      <x:c r="JD82" s="59"/>
      <x:c r="JE82" s="59"/>
      <x:c r="JF82" s="59"/>
      <x:c r="JG82" s="59"/>
      <x:c r="JH82" s="59"/>
      <x:c r="JI82" s="59"/>
      <x:c r="JJ82" s="59"/>
      <x:c r="JK82" s="59"/>
      <x:c r="JL82" s="59"/>
      <x:c r="JM82" s="59"/>
      <x:c r="JN82" s="59"/>
      <x:c r="JO82" s="59"/>
      <x:c r="JP82" s="59"/>
      <x:c r="JQ82" s="59"/>
      <x:c r="JR82" s="59"/>
      <x:c r="JS82" s="59"/>
      <x:c r="JT82" s="59"/>
      <x:c r="JU82" s="59"/>
      <x:c r="JV82" s="59"/>
      <x:c r="JW82" s="59"/>
      <x:c r="JX82" s="59"/>
      <x:c r="JY82" s="59"/>
      <x:c r="JZ82" s="59"/>
      <x:c r="KA82" s="59"/>
      <x:c r="KB82" s="59"/>
      <x:c r="KC82" s="59"/>
      <x:c r="KD82" s="59"/>
      <x:c r="KE82" s="59"/>
      <x:c r="KF82" s="59"/>
      <x:c r="KG82" s="59"/>
      <x:c r="KH82" s="59"/>
      <x:c r="KI82" s="59"/>
      <x:c r="KJ82" s="59"/>
      <x:c r="KK82" s="59"/>
      <x:c r="KL82" s="59"/>
      <x:c r="KM82" s="59"/>
      <x:c r="KN82" s="59"/>
      <x:c r="KO82" s="59"/>
      <x:c r="KP82" s="59"/>
      <x:c r="KQ82" s="59"/>
      <x:c r="KR82" s="59"/>
      <x:c r="KS82" s="59"/>
      <x:c r="KT82" s="59"/>
      <x:c r="KU82" s="59"/>
      <x:c r="KV82" s="59"/>
      <x:c r="KW82" s="59"/>
      <x:c r="KX82" s="59"/>
      <x:c r="KY82" s="59"/>
      <x:c r="KZ82" s="59"/>
      <x:c r="LA82" s="59"/>
      <x:c r="LB82" s="59"/>
      <x:c r="LC82" s="59"/>
      <x:c r="LD82" s="59"/>
      <x:c r="LE82" s="59"/>
      <x:c r="LF82" s="59"/>
      <x:c r="LG82" s="59"/>
      <x:c r="LH82" s="59"/>
      <x:c r="LI82" s="59"/>
      <x:c r="LJ82" s="59"/>
      <x:c r="LK82" s="59"/>
      <x:c r="LL82" s="59"/>
      <x:c r="LM82" s="59"/>
      <x:c r="LN82" s="59"/>
      <x:c r="LO82" s="59"/>
      <x:c r="LP82" s="59"/>
      <x:c r="LQ82" s="59"/>
      <x:c r="LR82" s="59"/>
      <x:c r="LS82" s="59"/>
      <x:c r="LT82" s="59"/>
      <x:c r="LU82" s="59"/>
      <x:c r="LV82" s="59"/>
      <x:c r="LW82" s="59"/>
      <x:c r="LX82" s="59"/>
      <x:c r="LY82" s="59"/>
      <x:c r="LZ82" s="59"/>
      <x:c r="MA82" s="59"/>
      <x:c r="MB82" s="59"/>
      <x:c r="MC82" s="59"/>
      <x:c r="MD82" s="59"/>
      <x:c r="ME82" s="59"/>
      <x:c r="MF82" s="59"/>
      <x:c r="MG82" s="59"/>
      <x:c r="MH82" s="59"/>
      <x:c r="MI82" s="59"/>
      <x:c r="MJ82" s="59"/>
      <x:c r="MK82" s="59"/>
      <x:c r="ML82" s="59"/>
      <x:c r="MM82" s="59"/>
      <x:c r="MN82" s="59"/>
      <x:c r="MO82" s="59"/>
      <x:c r="MP82" s="59"/>
      <x:c r="MQ82" s="59"/>
      <x:c r="MR82" s="59"/>
      <x:c r="MS82" s="59"/>
      <x:c r="MT82" s="59"/>
      <x:c r="MU82" s="59"/>
      <x:c r="MV82" s="59"/>
      <x:c r="MW82" s="59"/>
      <x:c r="MX82" s="59"/>
      <x:c r="MY82" s="59"/>
      <x:c r="MZ82" s="59"/>
      <x:c r="NA82" s="59"/>
      <x:c r="NB82" s="59"/>
      <x:c r="NC82" s="59"/>
      <x:c r="ND82" s="59"/>
      <x:c r="NE82" s="59"/>
      <x:c r="NF82" s="59"/>
      <x:c r="NG82" s="59"/>
      <x:c r="NH82" s="59"/>
      <x:c r="NI82" s="59"/>
      <x:c r="NJ82" s="59"/>
      <x:c r="NK82" s="59"/>
      <x:c r="NL82" s="59"/>
      <x:c r="NM82" s="59"/>
      <x:c r="NN82" s="59"/>
      <x:c r="NO82" s="59"/>
      <x:c r="NP82" s="59"/>
      <x:c r="NQ82" s="59"/>
      <x:c r="NR82" s="59"/>
      <x:c r="NS82" s="59"/>
      <x:c r="NT82" s="59"/>
      <x:c r="NU82" s="59"/>
      <x:c r="NV82" s="59"/>
      <x:c r="NW82" s="59"/>
      <x:c r="NX82" s="59"/>
      <x:c r="NY82" s="59"/>
      <x:c r="NZ82" s="59"/>
      <x:c r="OA82" s="59"/>
      <x:c r="OB82" s="59"/>
      <x:c r="OC82" s="59"/>
      <x:c r="OD82" s="59"/>
      <x:c r="OE82" s="59"/>
      <x:c r="OF82" s="59"/>
      <x:c r="OG82" s="59"/>
      <x:c r="OH82" s="59"/>
      <x:c r="OI82" s="59"/>
      <x:c r="OJ82" s="59"/>
      <x:c r="OK82" s="59"/>
      <x:c r="OL82" s="59"/>
      <x:c r="OM82" s="59"/>
      <x:c r="ON82" s="59"/>
      <x:c r="OO82" s="59"/>
      <x:c r="OP82" s="59"/>
      <x:c r="OQ82" s="59"/>
      <x:c r="OR82" s="59"/>
      <x:c r="OS82" s="59"/>
      <x:c r="OT82" s="59"/>
      <x:c r="OU82" s="59"/>
      <x:c r="OV82" s="59"/>
      <x:c r="OW82" s="59"/>
      <x:c r="OX82" s="59"/>
      <x:c r="OY82" s="59"/>
      <x:c r="OZ82" s="59"/>
      <x:c r="PA82" s="59"/>
      <x:c r="PB82" s="59"/>
      <x:c r="PC82" s="59"/>
      <x:c r="PD82" s="59"/>
      <x:c r="PE82" s="59"/>
      <x:c r="PF82" s="59"/>
      <x:c r="PG82" s="59"/>
      <x:c r="PH82" s="59"/>
      <x:c r="PI82" s="59"/>
      <x:c r="PJ82" s="59"/>
      <x:c r="PK82" s="59"/>
      <x:c r="PL82" s="59"/>
      <x:c r="PM82" s="59"/>
      <x:c r="PN82" s="59"/>
      <x:c r="PO82" s="59"/>
      <x:c r="PP82" s="59"/>
      <x:c r="PQ82" s="59"/>
      <x:c r="PR82" s="59"/>
      <x:c r="PS82" s="59"/>
      <x:c r="PT82" s="59"/>
      <x:c r="PU82" s="59"/>
      <x:c r="PV82" s="59"/>
      <x:c r="PW82" s="59"/>
      <x:c r="PX82" s="59"/>
      <x:c r="PY82" s="59"/>
      <x:c r="PZ82" s="59"/>
      <x:c r="QA82" s="59"/>
      <x:c r="QB82" s="59"/>
      <x:c r="QC82" s="59"/>
      <x:c r="QD82" s="59"/>
      <x:c r="QE82" s="59"/>
      <x:c r="QF82" s="59"/>
      <x:c r="QG82" s="59"/>
      <x:c r="QH82" s="59"/>
      <x:c r="QI82" s="59"/>
      <x:c r="QJ82" s="59"/>
      <x:c r="QK82" s="59"/>
      <x:c r="QL82" s="59"/>
      <x:c r="QM82" s="59"/>
      <x:c r="QN82" s="59"/>
      <x:c r="QO82" s="59"/>
      <x:c r="QP82" s="59"/>
      <x:c r="QQ82" s="59"/>
      <x:c r="QR82" s="59"/>
      <x:c r="QS82" s="59"/>
      <x:c r="QT82" s="59"/>
      <x:c r="QU82" s="59"/>
      <x:c r="QV82" s="59"/>
      <x:c r="QW82" s="59"/>
      <x:c r="QX82" s="59"/>
      <x:c r="QY82" s="59"/>
      <x:c r="QZ82" s="59"/>
      <x:c r="RA82" s="59"/>
      <x:c r="RB82" s="59"/>
      <x:c r="RC82" s="59"/>
      <x:c r="RD82" s="59"/>
      <x:c r="RE82" s="59"/>
      <x:c r="RF82" s="59"/>
      <x:c r="RG82" s="59"/>
      <x:c r="RH82" s="59"/>
      <x:c r="RI82" s="59"/>
      <x:c r="RJ82" s="59"/>
      <x:c r="RK82" s="59"/>
      <x:c r="RL82" s="59"/>
      <x:c r="RM82" s="59"/>
      <x:c r="RN82" s="59"/>
      <x:c r="RO82" s="59"/>
      <x:c r="RP82" s="59"/>
      <x:c r="RQ82" s="59"/>
      <x:c r="RR82" s="59"/>
      <x:c r="RS82" s="59"/>
      <x:c r="RT82" s="59"/>
      <x:c r="RU82" s="59"/>
      <x:c r="RV82" s="59"/>
      <x:c r="RW82" s="59"/>
      <x:c r="RX82" s="59"/>
      <x:c r="RY82" s="59"/>
      <x:c r="RZ82" s="59"/>
      <x:c r="SA82" s="59"/>
      <x:c r="SB82" s="59"/>
      <x:c r="SC82" s="59"/>
      <x:c r="SD82" s="59"/>
      <x:c r="SE82" s="59"/>
      <x:c r="SF82" s="59"/>
    </x:row>
    <x:row r="83" ht="27" customHeight="1">
      <x:c r="A83" s="69">
        <x:v>8</x:v>
      </x:c>
      <x:c r="B83" s="63" t="s">
        <x:v>153</x:v>
      </x:c>
      <x:c r="C83" s="63"/>
      <x:c r="D83" s="63"/>
      <x:c r="E83" s="63"/>
      <x:c r="F83" s="63" t="s">
        <x:v>154</x:v>
      </x:c>
      <x:c r="G83" s="63"/>
      <x:c r="H83" s="63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  <x:c r="AA83" s="59"/>
      <x:c r="AB83" s="59"/>
      <x:c r="AC83" s="59"/>
      <x:c r="AD83" s="59"/>
      <x:c r="AE83" s="59"/>
      <x:c r="AF83" s="59"/>
      <x:c r="AG83" s="59"/>
      <x:c r="AH83" s="59"/>
      <x:c r="AI83" s="59"/>
      <x:c r="AJ83" s="59"/>
      <x:c r="AK83" s="59"/>
      <x:c r="AL83" s="59"/>
      <x:c r="AM83" s="59"/>
      <x:c r="AN83" s="59"/>
      <x:c r="AO83" s="59"/>
      <x:c r="AP83" s="59"/>
      <x:c r="AQ83" s="59"/>
      <x:c r="AR83" s="59"/>
      <x:c r="AS83" s="59"/>
      <x:c r="AT83" s="59"/>
      <x:c r="AU83" s="59"/>
      <x:c r="AV83" s="59"/>
      <x:c r="AW83" s="59"/>
      <x:c r="AX83" s="59"/>
      <x:c r="AY83" s="59"/>
      <x:c r="AZ83" s="59"/>
      <x:c r="BA83" s="59"/>
      <x:c r="BB83" s="59"/>
      <x:c r="BC83" s="59"/>
      <x:c r="BD83" s="59"/>
      <x:c r="BE83" s="59"/>
      <x:c r="BF83" s="59"/>
      <x:c r="BG83" s="59"/>
      <x:c r="BH83" s="59"/>
      <x:c r="BI83" s="59"/>
      <x:c r="BJ83" s="59"/>
      <x:c r="BK83" s="59"/>
      <x:c r="BL83" s="59"/>
      <x:c r="BM83" s="59"/>
      <x:c r="BN83" s="59"/>
      <x:c r="BO83" s="59"/>
      <x:c r="BP83" s="59"/>
      <x:c r="BQ83" s="59"/>
      <x:c r="BR83" s="59"/>
      <x:c r="BS83" s="59"/>
      <x:c r="BT83" s="59"/>
      <x:c r="BU83" s="59"/>
      <x:c r="BV83" s="59"/>
      <x:c r="BW83" s="59"/>
      <x:c r="BX83" s="59"/>
      <x:c r="BY83" s="59"/>
      <x:c r="BZ83" s="59"/>
      <x:c r="CA83" s="59"/>
      <x:c r="CB83" s="59"/>
      <x:c r="CC83" s="59"/>
      <x:c r="CD83" s="59"/>
      <x:c r="CE83" s="59"/>
      <x:c r="CF83" s="59"/>
      <x:c r="CG83" s="59"/>
      <x:c r="CH83" s="59"/>
      <x:c r="CI83" s="59"/>
      <x:c r="CJ83" s="59"/>
      <x:c r="CK83" s="59"/>
      <x:c r="CL83" s="59"/>
      <x:c r="CM83" s="59"/>
      <x:c r="CN83" s="59"/>
      <x:c r="CO83" s="59"/>
      <x:c r="CP83" s="59"/>
      <x:c r="CQ83" s="59"/>
      <x:c r="CR83" s="59"/>
      <x:c r="CS83" s="59"/>
      <x:c r="CT83" s="59"/>
      <x:c r="CU83" s="59"/>
      <x:c r="CV83" s="59"/>
      <x:c r="CW83" s="59"/>
      <x:c r="CX83" s="59"/>
      <x:c r="CY83" s="59"/>
      <x:c r="CZ83" s="59"/>
      <x:c r="DA83" s="59"/>
      <x:c r="DB83" s="59"/>
      <x:c r="DC83" s="59"/>
      <x:c r="DD83" s="59"/>
      <x:c r="DE83" s="59"/>
      <x:c r="DF83" s="59"/>
      <x:c r="DG83" s="59"/>
      <x:c r="DH83" s="59"/>
      <x:c r="DI83" s="59"/>
      <x:c r="DJ83" s="59"/>
      <x:c r="DK83" s="59"/>
      <x:c r="DL83" s="59"/>
      <x:c r="DM83" s="59"/>
      <x:c r="DN83" s="59"/>
      <x:c r="DO83" s="59"/>
      <x:c r="DP83" s="59"/>
      <x:c r="DQ83" s="59"/>
      <x:c r="DR83" s="59"/>
      <x:c r="DS83" s="59"/>
      <x:c r="DT83" s="59"/>
      <x:c r="DU83" s="59"/>
      <x:c r="DV83" s="59"/>
      <x:c r="DW83" s="59"/>
      <x:c r="DX83" s="59"/>
      <x:c r="DY83" s="59"/>
      <x:c r="DZ83" s="59"/>
      <x:c r="EA83" s="59"/>
      <x:c r="EB83" s="59"/>
      <x:c r="EC83" s="59"/>
      <x:c r="ED83" s="59"/>
      <x:c r="EE83" s="59"/>
      <x:c r="EF83" s="59"/>
      <x:c r="EG83" s="59"/>
      <x:c r="EH83" s="59"/>
      <x:c r="EI83" s="59"/>
      <x:c r="EJ83" s="59"/>
      <x:c r="EK83" s="59"/>
      <x:c r="EL83" s="59"/>
      <x:c r="EM83" s="59"/>
      <x:c r="EN83" s="59"/>
      <x:c r="EO83" s="59"/>
      <x:c r="EP83" s="59"/>
      <x:c r="EQ83" s="59"/>
      <x:c r="ER83" s="59"/>
      <x:c r="ES83" s="59"/>
      <x:c r="ET83" s="59"/>
      <x:c r="EU83" s="59"/>
      <x:c r="EV83" s="59"/>
      <x:c r="EW83" s="59"/>
      <x:c r="EX83" s="59"/>
      <x:c r="EY83" s="59"/>
      <x:c r="EZ83" s="59"/>
      <x:c r="FA83" s="59"/>
      <x:c r="FB83" s="59"/>
      <x:c r="FC83" s="59"/>
      <x:c r="FD83" s="59"/>
      <x:c r="FE83" s="59"/>
      <x:c r="FF83" s="59"/>
      <x:c r="FG83" s="59"/>
      <x:c r="FH83" s="59"/>
      <x:c r="FI83" s="59"/>
      <x:c r="FJ83" s="59"/>
      <x:c r="FK83" s="59"/>
      <x:c r="FL83" s="59"/>
      <x:c r="FM83" s="59"/>
      <x:c r="FN83" s="59"/>
      <x:c r="FO83" s="59"/>
      <x:c r="FP83" s="59"/>
      <x:c r="FQ83" s="59"/>
      <x:c r="FR83" s="59"/>
      <x:c r="FS83" s="59"/>
      <x:c r="FT83" s="59"/>
      <x:c r="FU83" s="59"/>
      <x:c r="FV83" s="59"/>
      <x:c r="FW83" s="59"/>
      <x:c r="FX83" s="59"/>
      <x:c r="FY83" s="59"/>
      <x:c r="FZ83" s="59"/>
      <x:c r="GA83" s="59"/>
      <x:c r="GB83" s="59"/>
      <x:c r="GC83" s="59"/>
      <x:c r="GD83" s="59"/>
      <x:c r="GE83" s="59"/>
      <x:c r="GF83" s="59"/>
      <x:c r="GG83" s="59"/>
      <x:c r="GH83" s="59"/>
      <x:c r="GI83" s="59"/>
      <x:c r="GJ83" s="59"/>
      <x:c r="GK83" s="59"/>
      <x:c r="GL83" s="59"/>
      <x:c r="GM83" s="59"/>
      <x:c r="GN83" s="59"/>
      <x:c r="GO83" s="59"/>
      <x:c r="GP83" s="59"/>
      <x:c r="GQ83" s="59"/>
      <x:c r="GR83" s="59"/>
      <x:c r="GS83" s="59"/>
      <x:c r="GT83" s="59"/>
      <x:c r="GU83" s="59"/>
      <x:c r="GV83" s="59"/>
      <x:c r="GW83" s="59"/>
      <x:c r="GX83" s="59"/>
      <x:c r="GY83" s="59"/>
      <x:c r="GZ83" s="59"/>
      <x:c r="HA83" s="59"/>
      <x:c r="HB83" s="59"/>
      <x:c r="HC83" s="59"/>
      <x:c r="HD83" s="59"/>
      <x:c r="HE83" s="59"/>
      <x:c r="HF83" s="59"/>
      <x:c r="HG83" s="59"/>
      <x:c r="HH83" s="59"/>
      <x:c r="HI83" s="59"/>
      <x:c r="HJ83" s="59"/>
      <x:c r="HK83" s="59"/>
      <x:c r="HL83" s="59"/>
      <x:c r="HM83" s="59"/>
      <x:c r="HN83" s="59"/>
      <x:c r="HO83" s="59"/>
      <x:c r="HP83" s="59"/>
      <x:c r="HQ83" s="59"/>
      <x:c r="HR83" s="59"/>
      <x:c r="HS83" s="59"/>
      <x:c r="HT83" s="59"/>
      <x:c r="HU83" s="59"/>
      <x:c r="HV83" s="59"/>
      <x:c r="HW83" s="59"/>
      <x:c r="HX83" s="59"/>
      <x:c r="HY83" s="59"/>
      <x:c r="HZ83" s="59"/>
      <x:c r="IA83" s="59"/>
      <x:c r="IB83" s="59"/>
      <x:c r="IC83" s="59"/>
      <x:c r="ID83" s="59"/>
      <x:c r="IE83" s="59"/>
      <x:c r="IF83" s="59"/>
      <x:c r="IG83" s="59"/>
      <x:c r="IH83" s="59"/>
      <x:c r="II83" s="59"/>
      <x:c r="IJ83" s="59"/>
      <x:c r="IK83" s="59"/>
      <x:c r="IL83" s="59"/>
      <x:c r="IM83" s="59"/>
      <x:c r="IN83" s="59"/>
      <x:c r="IO83" s="59"/>
      <x:c r="IP83" s="59"/>
      <x:c r="IQ83" s="59"/>
      <x:c r="IR83" s="59"/>
      <x:c r="IS83" s="59"/>
      <x:c r="IT83" s="59"/>
      <x:c r="IU83" s="59"/>
      <x:c r="IV83" s="59"/>
      <x:c r="IW83" s="59"/>
      <x:c r="IX83" s="59"/>
      <x:c r="IY83" s="59"/>
      <x:c r="IZ83" s="59"/>
      <x:c r="JA83" s="59"/>
      <x:c r="JB83" s="59"/>
      <x:c r="JC83" s="59"/>
      <x:c r="JD83" s="59"/>
      <x:c r="JE83" s="59"/>
      <x:c r="JF83" s="59"/>
      <x:c r="JG83" s="59"/>
      <x:c r="JH83" s="59"/>
      <x:c r="JI83" s="59"/>
      <x:c r="JJ83" s="59"/>
      <x:c r="JK83" s="59"/>
      <x:c r="JL83" s="59"/>
      <x:c r="JM83" s="59"/>
      <x:c r="JN83" s="59"/>
      <x:c r="JO83" s="59"/>
      <x:c r="JP83" s="59"/>
      <x:c r="JQ83" s="59"/>
      <x:c r="JR83" s="59"/>
      <x:c r="JS83" s="59"/>
      <x:c r="JT83" s="59"/>
      <x:c r="JU83" s="59"/>
      <x:c r="JV83" s="59"/>
      <x:c r="JW83" s="59"/>
      <x:c r="JX83" s="59"/>
      <x:c r="JY83" s="59"/>
      <x:c r="JZ83" s="59"/>
      <x:c r="KA83" s="59"/>
      <x:c r="KB83" s="59"/>
      <x:c r="KC83" s="59"/>
      <x:c r="KD83" s="59"/>
      <x:c r="KE83" s="59"/>
      <x:c r="KF83" s="59"/>
      <x:c r="KG83" s="59"/>
      <x:c r="KH83" s="59"/>
      <x:c r="KI83" s="59"/>
      <x:c r="KJ83" s="59"/>
      <x:c r="KK83" s="59"/>
      <x:c r="KL83" s="59"/>
      <x:c r="KM83" s="59"/>
      <x:c r="KN83" s="59"/>
      <x:c r="KO83" s="59"/>
      <x:c r="KP83" s="59"/>
      <x:c r="KQ83" s="59"/>
      <x:c r="KR83" s="59"/>
      <x:c r="KS83" s="59"/>
      <x:c r="KT83" s="59"/>
      <x:c r="KU83" s="59"/>
      <x:c r="KV83" s="59"/>
      <x:c r="KW83" s="59"/>
      <x:c r="KX83" s="59"/>
      <x:c r="KY83" s="59"/>
      <x:c r="KZ83" s="59"/>
      <x:c r="LA83" s="59"/>
      <x:c r="LB83" s="59"/>
      <x:c r="LC83" s="59"/>
      <x:c r="LD83" s="59"/>
      <x:c r="LE83" s="59"/>
      <x:c r="LF83" s="59"/>
      <x:c r="LG83" s="59"/>
      <x:c r="LH83" s="59"/>
      <x:c r="LI83" s="59"/>
      <x:c r="LJ83" s="59"/>
      <x:c r="LK83" s="59"/>
      <x:c r="LL83" s="59"/>
      <x:c r="LM83" s="59"/>
      <x:c r="LN83" s="59"/>
      <x:c r="LO83" s="59"/>
      <x:c r="LP83" s="59"/>
      <x:c r="LQ83" s="59"/>
      <x:c r="LR83" s="59"/>
      <x:c r="LS83" s="59"/>
      <x:c r="LT83" s="59"/>
      <x:c r="LU83" s="59"/>
      <x:c r="LV83" s="59"/>
      <x:c r="LW83" s="59"/>
      <x:c r="LX83" s="59"/>
      <x:c r="LY83" s="59"/>
      <x:c r="LZ83" s="59"/>
      <x:c r="MA83" s="59"/>
      <x:c r="MB83" s="59"/>
      <x:c r="MC83" s="59"/>
      <x:c r="MD83" s="59"/>
      <x:c r="ME83" s="59"/>
      <x:c r="MF83" s="59"/>
      <x:c r="MG83" s="59"/>
      <x:c r="MH83" s="59"/>
      <x:c r="MI83" s="59"/>
      <x:c r="MJ83" s="59"/>
      <x:c r="MK83" s="59"/>
      <x:c r="ML83" s="59"/>
      <x:c r="MM83" s="59"/>
      <x:c r="MN83" s="59"/>
      <x:c r="MO83" s="59"/>
      <x:c r="MP83" s="59"/>
      <x:c r="MQ83" s="59"/>
      <x:c r="MR83" s="59"/>
      <x:c r="MS83" s="59"/>
      <x:c r="MT83" s="59"/>
      <x:c r="MU83" s="59"/>
      <x:c r="MV83" s="59"/>
      <x:c r="MW83" s="59"/>
      <x:c r="MX83" s="59"/>
      <x:c r="MY83" s="59"/>
      <x:c r="MZ83" s="59"/>
      <x:c r="NA83" s="59"/>
      <x:c r="NB83" s="59"/>
      <x:c r="NC83" s="59"/>
      <x:c r="ND83" s="59"/>
      <x:c r="NE83" s="59"/>
      <x:c r="NF83" s="59"/>
      <x:c r="NG83" s="59"/>
      <x:c r="NH83" s="59"/>
      <x:c r="NI83" s="59"/>
      <x:c r="NJ83" s="59"/>
      <x:c r="NK83" s="59"/>
      <x:c r="NL83" s="59"/>
      <x:c r="NM83" s="59"/>
      <x:c r="NN83" s="59"/>
      <x:c r="NO83" s="59"/>
      <x:c r="NP83" s="59"/>
      <x:c r="NQ83" s="59"/>
      <x:c r="NR83" s="59"/>
      <x:c r="NS83" s="59"/>
      <x:c r="NT83" s="59"/>
      <x:c r="NU83" s="59"/>
      <x:c r="NV83" s="59"/>
      <x:c r="NW83" s="59"/>
      <x:c r="NX83" s="59"/>
      <x:c r="NY83" s="59"/>
      <x:c r="NZ83" s="59"/>
      <x:c r="OA83" s="59"/>
      <x:c r="OB83" s="59"/>
      <x:c r="OC83" s="59"/>
      <x:c r="OD83" s="59"/>
      <x:c r="OE83" s="59"/>
      <x:c r="OF83" s="59"/>
      <x:c r="OG83" s="59"/>
      <x:c r="OH83" s="59"/>
      <x:c r="OI83" s="59"/>
      <x:c r="OJ83" s="59"/>
      <x:c r="OK83" s="59"/>
      <x:c r="OL83" s="59"/>
      <x:c r="OM83" s="59"/>
      <x:c r="ON83" s="59"/>
      <x:c r="OO83" s="59"/>
      <x:c r="OP83" s="59"/>
      <x:c r="OQ83" s="59"/>
      <x:c r="OR83" s="59"/>
      <x:c r="OS83" s="59"/>
      <x:c r="OT83" s="59"/>
      <x:c r="OU83" s="59"/>
      <x:c r="OV83" s="59"/>
      <x:c r="OW83" s="59"/>
      <x:c r="OX83" s="59"/>
      <x:c r="OY83" s="59"/>
      <x:c r="OZ83" s="59"/>
      <x:c r="PA83" s="59"/>
      <x:c r="PB83" s="59"/>
      <x:c r="PC83" s="59"/>
      <x:c r="PD83" s="59"/>
      <x:c r="PE83" s="59"/>
      <x:c r="PF83" s="59"/>
      <x:c r="PG83" s="59"/>
      <x:c r="PH83" s="59"/>
      <x:c r="PI83" s="59"/>
      <x:c r="PJ83" s="59"/>
      <x:c r="PK83" s="59"/>
      <x:c r="PL83" s="59"/>
      <x:c r="PM83" s="59"/>
      <x:c r="PN83" s="59"/>
      <x:c r="PO83" s="59"/>
      <x:c r="PP83" s="59"/>
      <x:c r="PQ83" s="59"/>
      <x:c r="PR83" s="59"/>
      <x:c r="PS83" s="59"/>
      <x:c r="PT83" s="59"/>
      <x:c r="PU83" s="59"/>
      <x:c r="PV83" s="59"/>
      <x:c r="PW83" s="59"/>
      <x:c r="PX83" s="59"/>
      <x:c r="PY83" s="59"/>
      <x:c r="PZ83" s="59"/>
      <x:c r="QA83" s="59"/>
      <x:c r="QB83" s="59"/>
      <x:c r="QC83" s="59"/>
      <x:c r="QD83" s="59"/>
      <x:c r="QE83" s="59"/>
      <x:c r="QF83" s="59"/>
      <x:c r="QG83" s="59"/>
      <x:c r="QH83" s="59"/>
      <x:c r="QI83" s="59"/>
      <x:c r="QJ83" s="59"/>
      <x:c r="QK83" s="59"/>
      <x:c r="QL83" s="59"/>
      <x:c r="QM83" s="59"/>
      <x:c r="QN83" s="59"/>
      <x:c r="QO83" s="59"/>
      <x:c r="QP83" s="59"/>
      <x:c r="QQ83" s="59"/>
      <x:c r="QR83" s="59"/>
      <x:c r="QS83" s="59"/>
      <x:c r="QT83" s="59"/>
      <x:c r="QU83" s="59"/>
      <x:c r="QV83" s="59"/>
      <x:c r="QW83" s="59"/>
      <x:c r="QX83" s="59"/>
      <x:c r="QY83" s="59"/>
      <x:c r="QZ83" s="59"/>
      <x:c r="RA83" s="59"/>
      <x:c r="RB83" s="59"/>
      <x:c r="RC83" s="59"/>
      <x:c r="RD83" s="59"/>
      <x:c r="RE83" s="59"/>
      <x:c r="RF83" s="59"/>
      <x:c r="RG83" s="59"/>
      <x:c r="RH83" s="59"/>
      <x:c r="RI83" s="59"/>
      <x:c r="RJ83" s="59"/>
      <x:c r="RK83" s="59"/>
      <x:c r="RL83" s="59"/>
      <x:c r="RM83" s="59"/>
      <x:c r="RN83" s="59"/>
      <x:c r="RO83" s="59"/>
      <x:c r="RP83" s="59"/>
      <x:c r="RQ83" s="59"/>
      <x:c r="RR83" s="59"/>
      <x:c r="RS83" s="59"/>
      <x:c r="RT83" s="59"/>
      <x:c r="RU83" s="59"/>
      <x:c r="RV83" s="59"/>
      <x:c r="RW83" s="59"/>
      <x:c r="RX83" s="59"/>
      <x:c r="RY83" s="59"/>
      <x:c r="RZ83" s="59"/>
      <x:c r="SA83" s="59"/>
      <x:c r="SB83" s="59"/>
      <x:c r="SC83" s="59"/>
      <x:c r="SD83" s="59"/>
      <x:c r="SE83" s="59"/>
      <x:c r="SF83" s="59"/>
    </x:row>
    <x:row r="85" ht="15.75" customHeight="1">
      <x:c r="A85" s="71" t="s">
        <x:v>155</x:v>
      </x:c>
      <x:c r="B85" s="71"/>
      <x:c r="C85" s="71"/>
      <x:c r="D85" s="71"/>
      <x:c r="E85" s="71"/>
      <x:c r="F85" s="71"/>
      <x:c r="G85" s="71"/>
      <x:c r="H85" s="71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  <x:c r="AA85" s="59"/>
      <x:c r="AB85" s="59"/>
      <x:c r="AC85" s="59"/>
      <x:c r="AD85" s="59"/>
      <x:c r="AE85" s="59"/>
      <x:c r="AF85" s="59"/>
      <x:c r="AG85" s="59"/>
      <x:c r="AH85" s="59"/>
      <x:c r="AI85" s="59"/>
      <x:c r="AJ85" s="59"/>
      <x:c r="AK85" s="59"/>
      <x:c r="AL85" s="59"/>
      <x:c r="AM85" s="59"/>
      <x:c r="AN85" s="59"/>
      <x:c r="AO85" s="59"/>
      <x:c r="AP85" s="59"/>
      <x:c r="AQ85" s="59"/>
      <x:c r="AR85" s="59"/>
      <x:c r="AS85" s="59"/>
      <x:c r="AT85" s="59"/>
      <x:c r="AU85" s="59"/>
      <x:c r="AV85" s="59"/>
      <x:c r="AW85" s="59"/>
      <x:c r="AX85" s="59"/>
      <x:c r="AY85" s="59"/>
      <x:c r="AZ85" s="59"/>
      <x:c r="BA85" s="59"/>
      <x:c r="BB85" s="59"/>
      <x:c r="BC85" s="59"/>
      <x:c r="BD85" s="59"/>
      <x:c r="BE85" s="59"/>
      <x:c r="BF85" s="59"/>
      <x:c r="BG85" s="59"/>
      <x:c r="BH85" s="59"/>
      <x:c r="BI85" s="59"/>
      <x:c r="BJ85" s="59"/>
      <x:c r="BK85" s="59"/>
      <x:c r="BL85" s="59"/>
      <x:c r="BM85" s="59"/>
      <x:c r="BN85" s="59"/>
      <x:c r="BO85" s="59"/>
      <x:c r="BP85" s="59"/>
      <x:c r="BQ85" s="59"/>
      <x:c r="BR85" s="59"/>
      <x:c r="BS85" s="59"/>
      <x:c r="BT85" s="59"/>
      <x:c r="BU85" s="59"/>
      <x:c r="BV85" s="59"/>
      <x:c r="BW85" s="59"/>
      <x:c r="BX85" s="59"/>
      <x:c r="BY85" s="59"/>
      <x:c r="BZ85" s="59"/>
      <x:c r="CA85" s="59"/>
      <x:c r="CB85" s="59"/>
      <x:c r="CC85" s="59"/>
      <x:c r="CD85" s="59"/>
      <x:c r="CE85" s="59"/>
      <x:c r="CF85" s="59"/>
      <x:c r="CG85" s="59"/>
      <x:c r="CH85" s="59"/>
      <x:c r="CI85" s="59"/>
      <x:c r="CJ85" s="59"/>
      <x:c r="CK85" s="59"/>
      <x:c r="CL85" s="59"/>
      <x:c r="CM85" s="59"/>
      <x:c r="CN85" s="59"/>
      <x:c r="CO85" s="59"/>
      <x:c r="CP85" s="59"/>
      <x:c r="CQ85" s="59"/>
      <x:c r="CR85" s="59"/>
      <x:c r="CS85" s="59"/>
      <x:c r="CT85" s="59"/>
      <x:c r="CU85" s="59"/>
      <x:c r="CV85" s="59"/>
      <x:c r="CW85" s="59"/>
      <x:c r="CX85" s="59"/>
      <x:c r="CY85" s="59"/>
      <x:c r="CZ85" s="59"/>
      <x:c r="DA85" s="59"/>
      <x:c r="DB85" s="59"/>
      <x:c r="DC85" s="59"/>
      <x:c r="DD85" s="59"/>
      <x:c r="DE85" s="59"/>
      <x:c r="DF85" s="59"/>
      <x:c r="DG85" s="59"/>
      <x:c r="DH85" s="59"/>
      <x:c r="DI85" s="59"/>
      <x:c r="DJ85" s="59"/>
      <x:c r="DK85" s="59"/>
      <x:c r="DL85" s="59"/>
      <x:c r="DM85" s="59"/>
      <x:c r="DN85" s="59"/>
      <x:c r="DO85" s="59"/>
      <x:c r="DP85" s="59"/>
      <x:c r="DQ85" s="59"/>
      <x:c r="DR85" s="59"/>
      <x:c r="DS85" s="59"/>
      <x:c r="DT85" s="59"/>
      <x:c r="DU85" s="59"/>
      <x:c r="DV85" s="59"/>
      <x:c r="DW85" s="59"/>
      <x:c r="DX85" s="59"/>
      <x:c r="DY85" s="59"/>
      <x:c r="DZ85" s="59"/>
      <x:c r="EA85" s="59"/>
      <x:c r="EB85" s="59"/>
      <x:c r="EC85" s="59"/>
      <x:c r="ED85" s="59"/>
      <x:c r="EE85" s="59"/>
      <x:c r="EF85" s="59"/>
      <x:c r="EG85" s="59"/>
      <x:c r="EH85" s="59"/>
      <x:c r="EI85" s="59"/>
      <x:c r="EJ85" s="59"/>
      <x:c r="EK85" s="59"/>
      <x:c r="EL85" s="59"/>
      <x:c r="EM85" s="59"/>
      <x:c r="EN85" s="59"/>
      <x:c r="EO85" s="59"/>
      <x:c r="EP85" s="59"/>
      <x:c r="EQ85" s="59"/>
      <x:c r="ER85" s="59"/>
      <x:c r="ES85" s="59"/>
      <x:c r="ET85" s="59"/>
      <x:c r="EU85" s="59"/>
      <x:c r="EV85" s="59"/>
      <x:c r="EW85" s="59"/>
      <x:c r="EX85" s="59"/>
      <x:c r="EY85" s="59"/>
      <x:c r="EZ85" s="59"/>
      <x:c r="FA85" s="59"/>
      <x:c r="FB85" s="59"/>
      <x:c r="FC85" s="59"/>
      <x:c r="FD85" s="59"/>
      <x:c r="FE85" s="59"/>
      <x:c r="FF85" s="59"/>
      <x:c r="FG85" s="59"/>
      <x:c r="FH85" s="59"/>
      <x:c r="FI85" s="59"/>
      <x:c r="FJ85" s="59"/>
      <x:c r="FK85" s="59"/>
      <x:c r="FL85" s="59"/>
      <x:c r="FM85" s="59"/>
      <x:c r="FN85" s="59"/>
      <x:c r="FO85" s="59"/>
      <x:c r="FP85" s="59"/>
      <x:c r="FQ85" s="59"/>
      <x:c r="FR85" s="59"/>
      <x:c r="FS85" s="59"/>
      <x:c r="FT85" s="59"/>
      <x:c r="FU85" s="59"/>
      <x:c r="FV85" s="59"/>
      <x:c r="FW85" s="59"/>
      <x:c r="FX85" s="59"/>
      <x:c r="FY85" s="59"/>
      <x:c r="FZ85" s="59"/>
      <x:c r="GA85" s="59"/>
      <x:c r="GB85" s="59"/>
      <x:c r="GC85" s="59"/>
      <x:c r="GD85" s="59"/>
      <x:c r="GE85" s="59"/>
      <x:c r="GF85" s="59"/>
      <x:c r="GG85" s="59"/>
      <x:c r="GH85" s="59"/>
      <x:c r="GI85" s="59"/>
      <x:c r="GJ85" s="59"/>
      <x:c r="GK85" s="59"/>
      <x:c r="GL85" s="59"/>
      <x:c r="GM85" s="59"/>
      <x:c r="GN85" s="59"/>
      <x:c r="GO85" s="59"/>
      <x:c r="GP85" s="59"/>
      <x:c r="GQ85" s="59"/>
      <x:c r="GR85" s="59"/>
      <x:c r="GS85" s="59"/>
      <x:c r="GT85" s="59"/>
      <x:c r="GU85" s="59"/>
      <x:c r="GV85" s="59"/>
      <x:c r="GW85" s="59"/>
      <x:c r="GX85" s="59"/>
      <x:c r="GY85" s="59"/>
      <x:c r="GZ85" s="59"/>
      <x:c r="HA85" s="59"/>
      <x:c r="HB85" s="59"/>
      <x:c r="HC85" s="59"/>
      <x:c r="HD85" s="59"/>
      <x:c r="HE85" s="59"/>
      <x:c r="HF85" s="59"/>
      <x:c r="HG85" s="59"/>
      <x:c r="HH85" s="59"/>
      <x:c r="HI85" s="59"/>
      <x:c r="HJ85" s="59"/>
      <x:c r="HK85" s="59"/>
      <x:c r="HL85" s="59"/>
      <x:c r="HM85" s="59"/>
      <x:c r="HN85" s="59"/>
      <x:c r="HO85" s="59"/>
      <x:c r="HP85" s="59"/>
      <x:c r="HQ85" s="59"/>
      <x:c r="HR85" s="59"/>
      <x:c r="HS85" s="59"/>
      <x:c r="HT85" s="59"/>
      <x:c r="HU85" s="59"/>
      <x:c r="HV85" s="59"/>
      <x:c r="HW85" s="59"/>
      <x:c r="HX85" s="59"/>
      <x:c r="HY85" s="59"/>
      <x:c r="HZ85" s="59"/>
      <x:c r="IA85" s="59"/>
      <x:c r="IB85" s="59"/>
      <x:c r="IC85" s="59"/>
      <x:c r="ID85" s="59"/>
      <x:c r="IE85" s="59"/>
      <x:c r="IF85" s="59"/>
      <x:c r="IG85" s="59"/>
      <x:c r="IH85" s="59"/>
      <x:c r="II85" s="59"/>
      <x:c r="IJ85" s="59"/>
      <x:c r="IK85" s="59"/>
      <x:c r="IL85" s="59"/>
      <x:c r="IM85" s="59"/>
      <x:c r="IN85" s="59"/>
      <x:c r="IO85" s="59"/>
      <x:c r="IP85" s="59"/>
      <x:c r="IQ85" s="59"/>
      <x:c r="IR85" s="59"/>
      <x:c r="IS85" s="59"/>
      <x:c r="IT85" s="59"/>
      <x:c r="IU85" s="59"/>
      <x:c r="IV85" s="59"/>
      <x:c r="IW85" s="59"/>
      <x:c r="IX85" s="59"/>
      <x:c r="IY85" s="59"/>
      <x:c r="IZ85" s="59"/>
      <x:c r="JA85" s="59"/>
      <x:c r="JB85" s="59"/>
      <x:c r="JC85" s="59"/>
      <x:c r="JD85" s="59"/>
      <x:c r="JE85" s="59"/>
      <x:c r="JF85" s="59"/>
      <x:c r="JG85" s="59"/>
      <x:c r="JH85" s="59"/>
      <x:c r="JI85" s="59"/>
      <x:c r="JJ85" s="59"/>
      <x:c r="JK85" s="59"/>
      <x:c r="JL85" s="59"/>
      <x:c r="JM85" s="59"/>
      <x:c r="JN85" s="59"/>
      <x:c r="JO85" s="59"/>
      <x:c r="JP85" s="59"/>
      <x:c r="JQ85" s="59"/>
      <x:c r="JR85" s="59"/>
      <x:c r="JS85" s="59"/>
      <x:c r="JT85" s="59"/>
      <x:c r="JU85" s="59"/>
      <x:c r="JV85" s="59"/>
      <x:c r="JW85" s="59"/>
      <x:c r="JX85" s="59"/>
      <x:c r="JY85" s="59"/>
      <x:c r="JZ85" s="59"/>
      <x:c r="KA85" s="59"/>
      <x:c r="KB85" s="59"/>
      <x:c r="KC85" s="59"/>
      <x:c r="KD85" s="59"/>
      <x:c r="KE85" s="59"/>
      <x:c r="KF85" s="59"/>
      <x:c r="KG85" s="59"/>
      <x:c r="KH85" s="59"/>
      <x:c r="KI85" s="59"/>
      <x:c r="KJ85" s="59"/>
      <x:c r="KK85" s="59"/>
      <x:c r="KL85" s="59"/>
      <x:c r="KM85" s="59"/>
      <x:c r="KN85" s="59"/>
      <x:c r="KO85" s="59"/>
      <x:c r="KP85" s="59"/>
      <x:c r="KQ85" s="59"/>
      <x:c r="KR85" s="59"/>
      <x:c r="KS85" s="59"/>
      <x:c r="KT85" s="59"/>
      <x:c r="KU85" s="59"/>
      <x:c r="KV85" s="59"/>
      <x:c r="KW85" s="59"/>
      <x:c r="KX85" s="59"/>
      <x:c r="KY85" s="59"/>
      <x:c r="KZ85" s="59"/>
      <x:c r="LA85" s="59"/>
      <x:c r="LB85" s="59"/>
      <x:c r="LC85" s="59"/>
      <x:c r="LD85" s="59"/>
      <x:c r="LE85" s="59"/>
      <x:c r="LF85" s="59"/>
      <x:c r="LG85" s="59"/>
      <x:c r="LH85" s="59"/>
      <x:c r="LI85" s="59"/>
      <x:c r="LJ85" s="59"/>
      <x:c r="LK85" s="59"/>
      <x:c r="LL85" s="59"/>
      <x:c r="LM85" s="59"/>
      <x:c r="LN85" s="59"/>
      <x:c r="LO85" s="59"/>
      <x:c r="LP85" s="59"/>
      <x:c r="LQ85" s="59"/>
      <x:c r="LR85" s="59"/>
      <x:c r="LS85" s="59"/>
      <x:c r="LT85" s="59"/>
      <x:c r="LU85" s="59"/>
      <x:c r="LV85" s="59"/>
      <x:c r="LW85" s="59"/>
      <x:c r="LX85" s="59"/>
      <x:c r="LY85" s="59"/>
      <x:c r="LZ85" s="59"/>
      <x:c r="MA85" s="59"/>
      <x:c r="MB85" s="59"/>
      <x:c r="MC85" s="59"/>
      <x:c r="MD85" s="59"/>
      <x:c r="ME85" s="59"/>
      <x:c r="MF85" s="59"/>
      <x:c r="MG85" s="59"/>
      <x:c r="MH85" s="59"/>
      <x:c r="MI85" s="59"/>
      <x:c r="MJ85" s="59"/>
      <x:c r="MK85" s="59"/>
      <x:c r="ML85" s="59"/>
      <x:c r="MM85" s="59"/>
      <x:c r="MN85" s="59"/>
      <x:c r="MO85" s="59"/>
      <x:c r="MP85" s="59"/>
      <x:c r="MQ85" s="59"/>
      <x:c r="MR85" s="59"/>
      <x:c r="MS85" s="59"/>
      <x:c r="MT85" s="59"/>
      <x:c r="MU85" s="59"/>
      <x:c r="MV85" s="59"/>
      <x:c r="MW85" s="59"/>
      <x:c r="MX85" s="59"/>
      <x:c r="MY85" s="59"/>
      <x:c r="MZ85" s="59"/>
      <x:c r="NA85" s="59"/>
      <x:c r="NB85" s="59"/>
      <x:c r="NC85" s="59"/>
      <x:c r="ND85" s="59"/>
      <x:c r="NE85" s="59"/>
      <x:c r="NF85" s="59"/>
      <x:c r="NG85" s="59"/>
      <x:c r="NH85" s="59"/>
      <x:c r="NI85" s="59"/>
      <x:c r="NJ85" s="59"/>
      <x:c r="NK85" s="59"/>
      <x:c r="NL85" s="59"/>
      <x:c r="NM85" s="59"/>
      <x:c r="NN85" s="59"/>
      <x:c r="NO85" s="59"/>
      <x:c r="NP85" s="59"/>
      <x:c r="NQ85" s="59"/>
      <x:c r="NR85" s="59"/>
      <x:c r="NS85" s="59"/>
      <x:c r="NT85" s="59"/>
      <x:c r="NU85" s="59"/>
      <x:c r="NV85" s="59"/>
      <x:c r="NW85" s="59"/>
      <x:c r="NX85" s="59"/>
      <x:c r="NY85" s="59"/>
      <x:c r="NZ85" s="59"/>
      <x:c r="OA85" s="59"/>
      <x:c r="OB85" s="59"/>
      <x:c r="OC85" s="59"/>
      <x:c r="OD85" s="59"/>
      <x:c r="OE85" s="59"/>
      <x:c r="OF85" s="59"/>
      <x:c r="OG85" s="59"/>
      <x:c r="OH85" s="59"/>
      <x:c r="OI85" s="59"/>
      <x:c r="OJ85" s="59"/>
      <x:c r="OK85" s="59"/>
      <x:c r="OL85" s="59"/>
      <x:c r="OM85" s="59"/>
      <x:c r="ON85" s="59"/>
      <x:c r="OO85" s="59"/>
      <x:c r="OP85" s="59"/>
      <x:c r="OQ85" s="59"/>
      <x:c r="OR85" s="59"/>
      <x:c r="OS85" s="59"/>
      <x:c r="OT85" s="59"/>
      <x:c r="OU85" s="59"/>
      <x:c r="OV85" s="59"/>
      <x:c r="OW85" s="59"/>
      <x:c r="OX85" s="59"/>
      <x:c r="OY85" s="59"/>
      <x:c r="OZ85" s="59"/>
      <x:c r="PA85" s="59"/>
      <x:c r="PB85" s="59"/>
      <x:c r="PC85" s="59"/>
      <x:c r="PD85" s="59"/>
      <x:c r="PE85" s="59"/>
      <x:c r="PF85" s="59"/>
      <x:c r="PG85" s="59"/>
      <x:c r="PH85" s="59"/>
      <x:c r="PI85" s="59"/>
      <x:c r="PJ85" s="59"/>
      <x:c r="PK85" s="59"/>
      <x:c r="PL85" s="59"/>
      <x:c r="PM85" s="59"/>
      <x:c r="PN85" s="59"/>
      <x:c r="PO85" s="59"/>
      <x:c r="PP85" s="59"/>
      <x:c r="PQ85" s="59"/>
      <x:c r="PR85" s="59"/>
      <x:c r="PS85" s="59"/>
      <x:c r="PT85" s="59"/>
      <x:c r="PU85" s="59"/>
      <x:c r="PV85" s="59"/>
      <x:c r="PW85" s="59"/>
      <x:c r="PX85" s="59"/>
      <x:c r="PY85" s="59"/>
      <x:c r="PZ85" s="59"/>
      <x:c r="QA85" s="59"/>
      <x:c r="QB85" s="59"/>
      <x:c r="QC85" s="59"/>
      <x:c r="QD85" s="59"/>
      <x:c r="QE85" s="59"/>
      <x:c r="QF85" s="59"/>
      <x:c r="QG85" s="59"/>
      <x:c r="QH85" s="59"/>
      <x:c r="QI85" s="59"/>
      <x:c r="QJ85" s="59"/>
      <x:c r="QK85" s="59"/>
      <x:c r="QL85" s="59"/>
      <x:c r="QM85" s="59"/>
      <x:c r="QN85" s="59"/>
      <x:c r="QO85" s="59"/>
      <x:c r="QP85" s="59"/>
      <x:c r="QQ85" s="59"/>
      <x:c r="QR85" s="59"/>
      <x:c r="QS85" s="59"/>
      <x:c r="QT85" s="59"/>
      <x:c r="QU85" s="59"/>
      <x:c r="QV85" s="59"/>
      <x:c r="QW85" s="59"/>
      <x:c r="QX85" s="59"/>
      <x:c r="QY85" s="59"/>
      <x:c r="QZ85" s="59"/>
      <x:c r="RA85" s="59"/>
      <x:c r="RB85" s="59"/>
      <x:c r="RC85" s="59"/>
      <x:c r="RD85" s="59"/>
      <x:c r="RE85" s="59"/>
      <x:c r="RF85" s="59"/>
      <x:c r="RG85" s="59"/>
      <x:c r="RH85" s="59"/>
      <x:c r="RI85" s="59"/>
      <x:c r="RJ85" s="59"/>
      <x:c r="RK85" s="59"/>
      <x:c r="RL85" s="59"/>
      <x:c r="RM85" s="59"/>
      <x:c r="RN85" s="59"/>
      <x:c r="RO85" s="59"/>
      <x:c r="RP85" s="59"/>
      <x:c r="RQ85" s="59"/>
      <x:c r="RR85" s="59"/>
      <x:c r="RS85" s="59"/>
      <x:c r="RT85" s="59"/>
      <x:c r="RU85" s="59"/>
      <x:c r="RV85" s="59"/>
      <x:c r="RW85" s="59"/>
      <x:c r="RX85" s="59"/>
      <x:c r="RY85" s="59"/>
      <x:c r="RZ85" s="59"/>
      <x:c r="SA85" s="59"/>
      <x:c r="SB85" s="59"/>
      <x:c r="SC85" s="59"/>
      <x:c r="SD85" s="59"/>
      <x:c r="SE85" s="59"/>
      <x:c r="SF85" s="59"/>
    </x:row>
    <x:row r="86">
      <x:c r="A86" s="72" t="s">
        <x:v>156</x:v>
      </x:c>
      <x:c r="B86" s="72"/>
      <x:c r="C86" s="72"/>
      <x:c r="D86" s="72"/>
      <x:c r="E86" s="72"/>
      <x:c r="F86" s="72"/>
      <x:c r="G86" s="72"/>
      <x:c r="H86" s="72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  <x:c r="AA86" s="59"/>
      <x:c r="AB86" s="59"/>
      <x:c r="AC86" s="59"/>
      <x:c r="AD86" s="59"/>
      <x:c r="AE86" s="59"/>
      <x:c r="AF86" s="59"/>
      <x:c r="AG86" s="59"/>
      <x:c r="AH86" s="59"/>
      <x:c r="AI86" s="59"/>
      <x:c r="AJ86" s="59"/>
      <x:c r="AK86" s="59"/>
      <x:c r="AL86" s="59"/>
      <x:c r="AM86" s="59"/>
      <x:c r="AN86" s="59"/>
      <x:c r="AO86" s="59"/>
      <x:c r="AP86" s="59"/>
      <x:c r="AQ86" s="59"/>
      <x:c r="AR86" s="59"/>
      <x:c r="AS86" s="59"/>
      <x:c r="AT86" s="59"/>
      <x:c r="AU86" s="59"/>
      <x:c r="AV86" s="59"/>
      <x:c r="AW86" s="59"/>
      <x:c r="AX86" s="59"/>
      <x:c r="AY86" s="59"/>
      <x:c r="AZ86" s="59"/>
      <x:c r="BA86" s="59"/>
      <x:c r="BB86" s="59"/>
      <x:c r="BC86" s="59"/>
      <x:c r="BD86" s="59"/>
      <x:c r="BE86" s="59"/>
      <x:c r="BF86" s="59"/>
      <x:c r="BG86" s="59"/>
      <x:c r="BH86" s="59"/>
      <x:c r="BI86" s="59"/>
      <x:c r="BJ86" s="59"/>
      <x:c r="BK86" s="59"/>
      <x:c r="BL86" s="59"/>
      <x:c r="BM86" s="59"/>
      <x:c r="BN86" s="59"/>
      <x:c r="BO86" s="59"/>
      <x:c r="BP86" s="59"/>
      <x:c r="BQ86" s="59"/>
      <x:c r="BR86" s="59"/>
      <x:c r="BS86" s="59"/>
      <x:c r="BT86" s="59"/>
      <x:c r="BU86" s="59"/>
      <x:c r="BV86" s="59"/>
      <x:c r="BW86" s="59"/>
      <x:c r="BX86" s="59"/>
      <x:c r="BY86" s="59"/>
      <x:c r="BZ86" s="59"/>
      <x:c r="CA86" s="59"/>
      <x:c r="CB86" s="59"/>
      <x:c r="CC86" s="59"/>
      <x:c r="CD86" s="59"/>
      <x:c r="CE86" s="59"/>
      <x:c r="CF86" s="59"/>
      <x:c r="CG86" s="59"/>
      <x:c r="CH86" s="59"/>
      <x:c r="CI86" s="59"/>
      <x:c r="CJ86" s="59"/>
      <x:c r="CK86" s="59"/>
      <x:c r="CL86" s="59"/>
      <x:c r="CM86" s="59"/>
      <x:c r="CN86" s="59"/>
      <x:c r="CO86" s="59"/>
      <x:c r="CP86" s="59"/>
      <x:c r="CQ86" s="59"/>
      <x:c r="CR86" s="59"/>
      <x:c r="CS86" s="59"/>
      <x:c r="CT86" s="59"/>
      <x:c r="CU86" s="59"/>
      <x:c r="CV86" s="59"/>
      <x:c r="CW86" s="59"/>
      <x:c r="CX86" s="59"/>
      <x:c r="CY86" s="59"/>
      <x:c r="CZ86" s="59"/>
      <x:c r="DA86" s="59"/>
      <x:c r="DB86" s="59"/>
      <x:c r="DC86" s="59"/>
      <x:c r="DD86" s="59"/>
      <x:c r="DE86" s="59"/>
      <x:c r="DF86" s="59"/>
      <x:c r="DG86" s="59"/>
      <x:c r="DH86" s="59"/>
      <x:c r="DI86" s="59"/>
      <x:c r="DJ86" s="59"/>
      <x:c r="DK86" s="59"/>
      <x:c r="DL86" s="59"/>
      <x:c r="DM86" s="59"/>
      <x:c r="DN86" s="59"/>
      <x:c r="DO86" s="59"/>
      <x:c r="DP86" s="59"/>
      <x:c r="DQ86" s="59"/>
      <x:c r="DR86" s="59"/>
      <x:c r="DS86" s="59"/>
      <x:c r="DT86" s="59"/>
      <x:c r="DU86" s="59"/>
      <x:c r="DV86" s="59"/>
      <x:c r="DW86" s="59"/>
      <x:c r="DX86" s="59"/>
      <x:c r="DY86" s="59"/>
      <x:c r="DZ86" s="59"/>
      <x:c r="EA86" s="59"/>
      <x:c r="EB86" s="59"/>
      <x:c r="EC86" s="59"/>
      <x:c r="ED86" s="59"/>
      <x:c r="EE86" s="59"/>
      <x:c r="EF86" s="59"/>
      <x:c r="EG86" s="59"/>
      <x:c r="EH86" s="59"/>
      <x:c r="EI86" s="59"/>
      <x:c r="EJ86" s="59"/>
      <x:c r="EK86" s="59"/>
      <x:c r="EL86" s="59"/>
      <x:c r="EM86" s="59"/>
      <x:c r="EN86" s="59"/>
      <x:c r="EO86" s="59"/>
      <x:c r="EP86" s="59"/>
      <x:c r="EQ86" s="59"/>
      <x:c r="ER86" s="59"/>
      <x:c r="ES86" s="59"/>
      <x:c r="ET86" s="59"/>
      <x:c r="EU86" s="59"/>
      <x:c r="EV86" s="59"/>
      <x:c r="EW86" s="59"/>
      <x:c r="EX86" s="59"/>
      <x:c r="EY86" s="59"/>
      <x:c r="EZ86" s="59"/>
      <x:c r="FA86" s="59"/>
      <x:c r="FB86" s="59"/>
      <x:c r="FC86" s="59"/>
      <x:c r="FD86" s="59"/>
      <x:c r="FE86" s="59"/>
      <x:c r="FF86" s="59"/>
      <x:c r="FG86" s="59"/>
      <x:c r="FH86" s="59"/>
      <x:c r="FI86" s="59"/>
      <x:c r="FJ86" s="59"/>
      <x:c r="FK86" s="59"/>
      <x:c r="FL86" s="59"/>
      <x:c r="FM86" s="59"/>
      <x:c r="FN86" s="59"/>
      <x:c r="FO86" s="59"/>
      <x:c r="FP86" s="59"/>
      <x:c r="FQ86" s="59"/>
      <x:c r="FR86" s="59"/>
      <x:c r="FS86" s="59"/>
      <x:c r="FT86" s="59"/>
      <x:c r="FU86" s="59"/>
      <x:c r="FV86" s="59"/>
      <x:c r="FW86" s="59"/>
      <x:c r="FX86" s="59"/>
      <x:c r="FY86" s="59"/>
      <x:c r="FZ86" s="59"/>
      <x:c r="GA86" s="59"/>
      <x:c r="GB86" s="59"/>
      <x:c r="GC86" s="59"/>
      <x:c r="GD86" s="59"/>
      <x:c r="GE86" s="59"/>
      <x:c r="GF86" s="59"/>
      <x:c r="GG86" s="59"/>
      <x:c r="GH86" s="59"/>
      <x:c r="GI86" s="59"/>
      <x:c r="GJ86" s="59"/>
      <x:c r="GK86" s="59"/>
      <x:c r="GL86" s="59"/>
      <x:c r="GM86" s="59"/>
      <x:c r="GN86" s="59"/>
      <x:c r="GO86" s="59"/>
      <x:c r="GP86" s="59"/>
      <x:c r="GQ86" s="59"/>
      <x:c r="GR86" s="59"/>
      <x:c r="GS86" s="59"/>
      <x:c r="GT86" s="59"/>
      <x:c r="GU86" s="59"/>
      <x:c r="GV86" s="59"/>
      <x:c r="GW86" s="59"/>
      <x:c r="GX86" s="59"/>
      <x:c r="GY86" s="59"/>
      <x:c r="GZ86" s="59"/>
      <x:c r="HA86" s="59"/>
      <x:c r="HB86" s="59"/>
      <x:c r="HC86" s="59"/>
      <x:c r="HD86" s="59"/>
      <x:c r="HE86" s="59"/>
      <x:c r="HF86" s="59"/>
      <x:c r="HG86" s="59"/>
      <x:c r="HH86" s="59"/>
      <x:c r="HI86" s="59"/>
      <x:c r="HJ86" s="59"/>
      <x:c r="HK86" s="59"/>
      <x:c r="HL86" s="59"/>
      <x:c r="HM86" s="59"/>
      <x:c r="HN86" s="59"/>
      <x:c r="HO86" s="59"/>
      <x:c r="HP86" s="59"/>
      <x:c r="HQ86" s="59"/>
      <x:c r="HR86" s="59"/>
      <x:c r="HS86" s="59"/>
      <x:c r="HT86" s="59"/>
      <x:c r="HU86" s="59"/>
      <x:c r="HV86" s="59"/>
      <x:c r="HW86" s="59"/>
      <x:c r="HX86" s="59"/>
      <x:c r="HY86" s="59"/>
      <x:c r="HZ86" s="59"/>
      <x:c r="IA86" s="59"/>
      <x:c r="IB86" s="59"/>
      <x:c r="IC86" s="59"/>
      <x:c r="ID86" s="59"/>
      <x:c r="IE86" s="59"/>
      <x:c r="IF86" s="59"/>
      <x:c r="IG86" s="59"/>
      <x:c r="IH86" s="59"/>
      <x:c r="II86" s="59"/>
      <x:c r="IJ86" s="59"/>
      <x:c r="IK86" s="59"/>
      <x:c r="IL86" s="59"/>
      <x:c r="IM86" s="59"/>
      <x:c r="IN86" s="59"/>
      <x:c r="IO86" s="59"/>
      <x:c r="IP86" s="59"/>
      <x:c r="IQ86" s="59"/>
      <x:c r="IR86" s="59"/>
      <x:c r="IS86" s="59"/>
      <x:c r="IT86" s="59"/>
      <x:c r="IU86" s="59"/>
      <x:c r="IV86" s="59"/>
      <x:c r="IW86" s="59"/>
      <x:c r="IX86" s="59"/>
      <x:c r="IY86" s="59"/>
      <x:c r="IZ86" s="59"/>
      <x:c r="JA86" s="59"/>
      <x:c r="JB86" s="59"/>
      <x:c r="JC86" s="59"/>
      <x:c r="JD86" s="59"/>
      <x:c r="JE86" s="59"/>
      <x:c r="JF86" s="59"/>
      <x:c r="JG86" s="59"/>
      <x:c r="JH86" s="59"/>
      <x:c r="JI86" s="59"/>
      <x:c r="JJ86" s="59"/>
      <x:c r="JK86" s="59"/>
      <x:c r="JL86" s="59"/>
      <x:c r="JM86" s="59"/>
      <x:c r="JN86" s="59"/>
      <x:c r="JO86" s="59"/>
      <x:c r="JP86" s="59"/>
      <x:c r="JQ86" s="59"/>
      <x:c r="JR86" s="59"/>
      <x:c r="JS86" s="59"/>
      <x:c r="JT86" s="59"/>
      <x:c r="JU86" s="59"/>
      <x:c r="JV86" s="59"/>
      <x:c r="JW86" s="59"/>
      <x:c r="JX86" s="59"/>
      <x:c r="JY86" s="59"/>
      <x:c r="JZ86" s="59"/>
      <x:c r="KA86" s="59"/>
      <x:c r="KB86" s="59"/>
      <x:c r="KC86" s="59"/>
      <x:c r="KD86" s="59"/>
      <x:c r="KE86" s="59"/>
      <x:c r="KF86" s="59"/>
      <x:c r="KG86" s="59"/>
      <x:c r="KH86" s="59"/>
      <x:c r="KI86" s="59"/>
      <x:c r="KJ86" s="59"/>
      <x:c r="KK86" s="59"/>
      <x:c r="KL86" s="59"/>
      <x:c r="KM86" s="59"/>
      <x:c r="KN86" s="59"/>
      <x:c r="KO86" s="59"/>
      <x:c r="KP86" s="59"/>
      <x:c r="KQ86" s="59"/>
      <x:c r="KR86" s="59"/>
      <x:c r="KS86" s="59"/>
      <x:c r="KT86" s="59"/>
      <x:c r="KU86" s="59"/>
      <x:c r="KV86" s="59"/>
      <x:c r="KW86" s="59"/>
      <x:c r="KX86" s="59"/>
      <x:c r="KY86" s="59"/>
      <x:c r="KZ86" s="59"/>
      <x:c r="LA86" s="59"/>
      <x:c r="LB86" s="59"/>
      <x:c r="LC86" s="59"/>
      <x:c r="LD86" s="59"/>
      <x:c r="LE86" s="59"/>
      <x:c r="LF86" s="59"/>
      <x:c r="LG86" s="59"/>
      <x:c r="LH86" s="59"/>
      <x:c r="LI86" s="59"/>
      <x:c r="LJ86" s="59"/>
      <x:c r="LK86" s="59"/>
      <x:c r="LL86" s="59"/>
      <x:c r="LM86" s="59"/>
      <x:c r="LN86" s="59"/>
      <x:c r="LO86" s="59"/>
      <x:c r="LP86" s="59"/>
      <x:c r="LQ86" s="59"/>
      <x:c r="LR86" s="59"/>
      <x:c r="LS86" s="59"/>
      <x:c r="LT86" s="59"/>
      <x:c r="LU86" s="59"/>
      <x:c r="LV86" s="59"/>
      <x:c r="LW86" s="59"/>
      <x:c r="LX86" s="59"/>
      <x:c r="LY86" s="59"/>
      <x:c r="LZ86" s="59"/>
      <x:c r="MA86" s="59"/>
      <x:c r="MB86" s="59"/>
      <x:c r="MC86" s="59"/>
      <x:c r="MD86" s="59"/>
      <x:c r="ME86" s="59"/>
      <x:c r="MF86" s="59"/>
      <x:c r="MG86" s="59"/>
      <x:c r="MH86" s="59"/>
      <x:c r="MI86" s="59"/>
      <x:c r="MJ86" s="59"/>
      <x:c r="MK86" s="59"/>
      <x:c r="ML86" s="59"/>
      <x:c r="MM86" s="59"/>
      <x:c r="MN86" s="59"/>
      <x:c r="MO86" s="59"/>
      <x:c r="MP86" s="59"/>
      <x:c r="MQ86" s="59"/>
      <x:c r="MR86" s="59"/>
      <x:c r="MS86" s="59"/>
      <x:c r="MT86" s="59"/>
      <x:c r="MU86" s="59"/>
      <x:c r="MV86" s="59"/>
      <x:c r="MW86" s="59"/>
      <x:c r="MX86" s="59"/>
      <x:c r="MY86" s="59"/>
      <x:c r="MZ86" s="59"/>
      <x:c r="NA86" s="59"/>
      <x:c r="NB86" s="59"/>
      <x:c r="NC86" s="59"/>
      <x:c r="ND86" s="59"/>
      <x:c r="NE86" s="59"/>
      <x:c r="NF86" s="59"/>
      <x:c r="NG86" s="59"/>
      <x:c r="NH86" s="59"/>
      <x:c r="NI86" s="59"/>
      <x:c r="NJ86" s="59"/>
      <x:c r="NK86" s="59"/>
      <x:c r="NL86" s="59"/>
      <x:c r="NM86" s="59"/>
      <x:c r="NN86" s="59"/>
      <x:c r="NO86" s="59"/>
      <x:c r="NP86" s="59"/>
      <x:c r="NQ86" s="59"/>
      <x:c r="NR86" s="59"/>
      <x:c r="NS86" s="59"/>
      <x:c r="NT86" s="59"/>
      <x:c r="NU86" s="59"/>
      <x:c r="NV86" s="59"/>
      <x:c r="NW86" s="59"/>
      <x:c r="NX86" s="59"/>
      <x:c r="NY86" s="59"/>
      <x:c r="NZ86" s="59"/>
      <x:c r="OA86" s="59"/>
      <x:c r="OB86" s="59"/>
      <x:c r="OC86" s="59"/>
      <x:c r="OD86" s="59"/>
      <x:c r="OE86" s="59"/>
      <x:c r="OF86" s="59"/>
      <x:c r="OG86" s="59"/>
      <x:c r="OH86" s="59"/>
      <x:c r="OI86" s="59"/>
      <x:c r="OJ86" s="59"/>
      <x:c r="OK86" s="59"/>
      <x:c r="OL86" s="59"/>
      <x:c r="OM86" s="59"/>
      <x:c r="ON86" s="59"/>
      <x:c r="OO86" s="59"/>
      <x:c r="OP86" s="59"/>
      <x:c r="OQ86" s="59"/>
      <x:c r="OR86" s="59"/>
      <x:c r="OS86" s="59"/>
      <x:c r="OT86" s="59"/>
      <x:c r="OU86" s="59"/>
      <x:c r="OV86" s="59"/>
      <x:c r="OW86" s="59"/>
      <x:c r="OX86" s="59"/>
      <x:c r="OY86" s="59"/>
      <x:c r="OZ86" s="59"/>
      <x:c r="PA86" s="59"/>
      <x:c r="PB86" s="59"/>
      <x:c r="PC86" s="59"/>
      <x:c r="PD86" s="59"/>
      <x:c r="PE86" s="59"/>
      <x:c r="PF86" s="59"/>
      <x:c r="PG86" s="59"/>
      <x:c r="PH86" s="59"/>
      <x:c r="PI86" s="59"/>
      <x:c r="PJ86" s="59"/>
      <x:c r="PK86" s="59"/>
      <x:c r="PL86" s="59"/>
      <x:c r="PM86" s="59"/>
      <x:c r="PN86" s="59"/>
      <x:c r="PO86" s="59"/>
      <x:c r="PP86" s="59"/>
      <x:c r="PQ86" s="59"/>
      <x:c r="PR86" s="59"/>
      <x:c r="PS86" s="59"/>
      <x:c r="PT86" s="59"/>
      <x:c r="PU86" s="59"/>
      <x:c r="PV86" s="59"/>
      <x:c r="PW86" s="59"/>
      <x:c r="PX86" s="59"/>
      <x:c r="PY86" s="59"/>
      <x:c r="PZ86" s="59"/>
      <x:c r="QA86" s="59"/>
      <x:c r="QB86" s="59"/>
      <x:c r="QC86" s="59"/>
      <x:c r="QD86" s="59"/>
      <x:c r="QE86" s="59"/>
      <x:c r="QF86" s="59"/>
      <x:c r="QG86" s="59"/>
      <x:c r="QH86" s="59"/>
      <x:c r="QI86" s="59"/>
      <x:c r="QJ86" s="59"/>
      <x:c r="QK86" s="59"/>
      <x:c r="QL86" s="59"/>
      <x:c r="QM86" s="59"/>
      <x:c r="QN86" s="59"/>
      <x:c r="QO86" s="59"/>
      <x:c r="QP86" s="59"/>
      <x:c r="QQ86" s="59"/>
      <x:c r="QR86" s="59"/>
      <x:c r="QS86" s="59"/>
      <x:c r="QT86" s="59"/>
      <x:c r="QU86" s="59"/>
      <x:c r="QV86" s="59"/>
      <x:c r="QW86" s="59"/>
      <x:c r="QX86" s="59"/>
      <x:c r="QY86" s="59"/>
      <x:c r="QZ86" s="59"/>
      <x:c r="RA86" s="59"/>
      <x:c r="RB86" s="59"/>
      <x:c r="RC86" s="59"/>
      <x:c r="RD86" s="59"/>
      <x:c r="RE86" s="59"/>
      <x:c r="RF86" s="59"/>
      <x:c r="RG86" s="59"/>
      <x:c r="RH86" s="59"/>
      <x:c r="RI86" s="59"/>
      <x:c r="RJ86" s="59"/>
      <x:c r="RK86" s="59"/>
      <x:c r="RL86" s="59"/>
      <x:c r="RM86" s="59"/>
      <x:c r="RN86" s="59"/>
      <x:c r="RO86" s="59"/>
      <x:c r="RP86" s="59"/>
      <x:c r="RQ86" s="59"/>
      <x:c r="RR86" s="59"/>
      <x:c r="RS86" s="59"/>
      <x:c r="RT86" s="59"/>
      <x:c r="RU86" s="59"/>
      <x:c r="RV86" s="59"/>
      <x:c r="RW86" s="59"/>
      <x:c r="RX86" s="59"/>
      <x:c r="RY86" s="59"/>
      <x:c r="RZ86" s="59"/>
      <x:c r="SA86" s="59"/>
      <x:c r="SB86" s="59"/>
      <x:c r="SC86" s="59"/>
      <x:c r="SD86" s="59"/>
      <x:c r="SE86" s="59"/>
      <x:c r="SF86" s="59"/>
    </x:row>
    <x:row r="87">
      <x:c r="A87" s="72" t="s">
        <x:v>157</x:v>
      </x:c>
      <x:c r="B87" s="72"/>
      <x:c r="C87" s="72"/>
      <x:c r="D87" s="72"/>
      <x:c r="E87" s="72"/>
      <x:c r="F87" s="72"/>
      <x:c r="G87" s="72"/>
      <x:c r="H87" s="72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  <x:c r="AA87" s="59"/>
      <x:c r="AB87" s="59"/>
      <x:c r="AC87" s="59"/>
      <x:c r="AD87" s="59"/>
      <x:c r="AE87" s="59"/>
      <x:c r="AF87" s="59"/>
      <x:c r="AG87" s="59"/>
      <x:c r="AH87" s="59"/>
      <x:c r="AI87" s="59"/>
      <x:c r="AJ87" s="59"/>
      <x:c r="AK87" s="59"/>
      <x:c r="AL87" s="59"/>
      <x:c r="AM87" s="59"/>
      <x:c r="AN87" s="59"/>
      <x:c r="AO87" s="59"/>
      <x:c r="AP87" s="59"/>
      <x:c r="AQ87" s="59"/>
      <x:c r="AR87" s="59"/>
      <x:c r="AS87" s="59"/>
      <x:c r="AT87" s="59"/>
      <x:c r="AU87" s="59"/>
      <x:c r="AV87" s="59"/>
      <x:c r="AW87" s="59"/>
      <x:c r="AX87" s="59"/>
      <x:c r="AY87" s="59"/>
      <x:c r="AZ87" s="59"/>
      <x:c r="BA87" s="59"/>
      <x:c r="BB87" s="59"/>
      <x:c r="BC87" s="59"/>
      <x:c r="BD87" s="59"/>
      <x:c r="BE87" s="59"/>
      <x:c r="BF87" s="59"/>
      <x:c r="BG87" s="59"/>
      <x:c r="BH87" s="59"/>
      <x:c r="BI87" s="59"/>
      <x:c r="BJ87" s="59"/>
      <x:c r="BK87" s="59"/>
      <x:c r="BL87" s="59"/>
      <x:c r="BM87" s="59"/>
      <x:c r="BN87" s="59"/>
      <x:c r="BO87" s="59"/>
      <x:c r="BP87" s="59"/>
      <x:c r="BQ87" s="59"/>
      <x:c r="BR87" s="59"/>
      <x:c r="BS87" s="59"/>
      <x:c r="BT87" s="59"/>
      <x:c r="BU87" s="59"/>
      <x:c r="BV87" s="59"/>
      <x:c r="BW87" s="59"/>
      <x:c r="BX87" s="59"/>
      <x:c r="BY87" s="59"/>
      <x:c r="BZ87" s="59"/>
      <x:c r="CA87" s="59"/>
      <x:c r="CB87" s="59"/>
      <x:c r="CC87" s="59"/>
      <x:c r="CD87" s="59"/>
      <x:c r="CE87" s="59"/>
      <x:c r="CF87" s="59"/>
      <x:c r="CG87" s="59"/>
      <x:c r="CH87" s="59"/>
      <x:c r="CI87" s="59"/>
      <x:c r="CJ87" s="59"/>
      <x:c r="CK87" s="59"/>
      <x:c r="CL87" s="59"/>
      <x:c r="CM87" s="59"/>
      <x:c r="CN87" s="59"/>
      <x:c r="CO87" s="59"/>
      <x:c r="CP87" s="59"/>
      <x:c r="CQ87" s="59"/>
      <x:c r="CR87" s="59"/>
      <x:c r="CS87" s="59"/>
      <x:c r="CT87" s="59"/>
      <x:c r="CU87" s="59"/>
      <x:c r="CV87" s="59"/>
      <x:c r="CW87" s="59"/>
      <x:c r="CX87" s="59"/>
      <x:c r="CY87" s="59"/>
      <x:c r="CZ87" s="59"/>
      <x:c r="DA87" s="59"/>
      <x:c r="DB87" s="59"/>
      <x:c r="DC87" s="59"/>
      <x:c r="DD87" s="59"/>
      <x:c r="DE87" s="59"/>
      <x:c r="DF87" s="59"/>
      <x:c r="DG87" s="59"/>
      <x:c r="DH87" s="59"/>
      <x:c r="DI87" s="59"/>
      <x:c r="DJ87" s="59"/>
      <x:c r="DK87" s="59"/>
      <x:c r="DL87" s="59"/>
      <x:c r="DM87" s="59"/>
      <x:c r="DN87" s="59"/>
      <x:c r="DO87" s="59"/>
      <x:c r="DP87" s="59"/>
      <x:c r="DQ87" s="59"/>
      <x:c r="DR87" s="59"/>
      <x:c r="DS87" s="59"/>
      <x:c r="DT87" s="59"/>
      <x:c r="DU87" s="59"/>
      <x:c r="DV87" s="59"/>
      <x:c r="DW87" s="59"/>
      <x:c r="DX87" s="59"/>
      <x:c r="DY87" s="59"/>
      <x:c r="DZ87" s="59"/>
      <x:c r="EA87" s="59"/>
      <x:c r="EB87" s="59"/>
      <x:c r="EC87" s="59"/>
      <x:c r="ED87" s="59"/>
      <x:c r="EE87" s="59"/>
      <x:c r="EF87" s="59"/>
      <x:c r="EG87" s="59"/>
      <x:c r="EH87" s="59"/>
      <x:c r="EI87" s="59"/>
      <x:c r="EJ87" s="59"/>
      <x:c r="EK87" s="59"/>
      <x:c r="EL87" s="59"/>
      <x:c r="EM87" s="59"/>
      <x:c r="EN87" s="59"/>
      <x:c r="EO87" s="59"/>
      <x:c r="EP87" s="59"/>
      <x:c r="EQ87" s="59"/>
      <x:c r="ER87" s="59"/>
      <x:c r="ES87" s="59"/>
      <x:c r="ET87" s="59"/>
      <x:c r="EU87" s="59"/>
      <x:c r="EV87" s="59"/>
      <x:c r="EW87" s="59"/>
      <x:c r="EX87" s="59"/>
      <x:c r="EY87" s="59"/>
      <x:c r="EZ87" s="59"/>
      <x:c r="FA87" s="59"/>
      <x:c r="FB87" s="59"/>
      <x:c r="FC87" s="59"/>
      <x:c r="FD87" s="59"/>
      <x:c r="FE87" s="59"/>
      <x:c r="FF87" s="59"/>
      <x:c r="FG87" s="59"/>
      <x:c r="FH87" s="59"/>
      <x:c r="FI87" s="59"/>
      <x:c r="FJ87" s="59"/>
      <x:c r="FK87" s="59"/>
      <x:c r="FL87" s="59"/>
      <x:c r="FM87" s="59"/>
      <x:c r="FN87" s="59"/>
      <x:c r="FO87" s="59"/>
      <x:c r="FP87" s="59"/>
      <x:c r="FQ87" s="59"/>
      <x:c r="FR87" s="59"/>
      <x:c r="FS87" s="59"/>
      <x:c r="FT87" s="59"/>
      <x:c r="FU87" s="59"/>
      <x:c r="FV87" s="59"/>
      <x:c r="FW87" s="59"/>
      <x:c r="FX87" s="59"/>
      <x:c r="FY87" s="59"/>
      <x:c r="FZ87" s="59"/>
      <x:c r="GA87" s="59"/>
      <x:c r="GB87" s="59"/>
      <x:c r="GC87" s="59"/>
      <x:c r="GD87" s="59"/>
      <x:c r="GE87" s="59"/>
      <x:c r="GF87" s="59"/>
      <x:c r="GG87" s="59"/>
      <x:c r="GH87" s="59"/>
      <x:c r="GI87" s="59"/>
      <x:c r="GJ87" s="59"/>
      <x:c r="GK87" s="59"/>
      <x:c r="GL87" s="59"/>
      <x:c r="GM87" s="59"/>
      <x:c r="GN87" s="59"/>
      <x:c r="GO87" s="59"/>
      <x:c r="GP87" s="59"/>
      <x:c r="GQ87" s="59"/>
      <x:c r="GR87" s="59"/>
      <x:c r="GS87" s="59"/>
      <x:c r="GT87" s="59"/>
      <x:c r="GU87" s="59"/>
      <x:c r="GV87" s="59"/>
      <x:c r="GW87" s="59"/>
      <x:c r="GX87" s="59"/>
      <x:c r="GY87" s="59"/>
      <x:c r="GZ87" s="59"/>
      <x:c r="HA87" s="59"/>
      <x:c r="HB87" s="59"/>
      <x:c r="HC87" s="59"/>
      <x:c r="HD87" s="59"/>
      <x:c r="HE87" s="59"/>
      <x:c r="HF87" s="59"/>
      <x:c r="HG87" s="59"/>
      <x:c r="HH87" s="59"/>
      <x:c r="HI87" s="59"/>
      <x:c r="HJ87" s="59"/>
      <x:c r="HK87" s="59"/>
      <x:c r="HL87" s="59"/>
      <x:c r="HM87" s="59"/>
      <x:c r="HN87" s="59"/>
      <x:c r="HO87" s="59"/>
      <x:c r="HP87" s="59"/>
      <x:c r="HQ87" s="59"/>
      <x:c r="HR87" s="59"/>
      <x:c r="HS87" s="59"/>
      <x:c r="HT87" s="59"/>
      <x:c r="HU87" s="59"/>
      <x:c r="HV87" s="59"/>
      <x:c r="HW87" s="59"/>
      <x:c r="HX87" s="59"/>
      <x:c r="HY87" s="59"/>
      <x:c r="HZ87" s="59"/>
      <x:c r="IA87" s="59"/>
      <x:c r="IB87" s="59"/>
      <x:c r="IC87" s="59"/>
      <x:c r="ID87" s="59"/>
      <x:c r="IE87" s="59"/>
      <x:c r="IF87" s="59"/>
      <x:c r="IG87" s="59"/>
      <x:c r="IH87" s="59"/>
      <x:c r="II87" s="59"/>
      <x:c r="IJ87" s="59"/>
      <x:c r="IK87" s="59"/>
      <x:c r="IL87" s="59"/>
      <x:c r="IM87" s="59"/>
      <x:c r="IN87" s="59"/>
      <x:c r="IO87" s="59"/>
      <x:c r="IP87" s="59"/>
      <x:c r="IQ87" s="59"/>
      <x:c r="IR87" s="59"/>
      <x:c r="IS87" s="59"/>
      <x:c r="IT87" s="59"/>
      <x:c r="IU87" s="59"/>
      <x:c r="IV87" s="59"/>
      <x:c r="IW87" s="59"/>
      <x:c r="IX87" s="59"/>
      <x:c r="IY87" s="59"/>
      <x:c r="IZ87" s="59"/>
      <x:c r="JA87" s="59"/>
      <x:c r="JB87" s="59"/>
      <x:c r="JC87" s="59"/>
      <x:c r="JD87" s="59"/>
      <x:c r="JE87" s="59"/>
      <x:c r="JF87" s="59"/>
      <x:c r="JG87" s="59"/>
      <x:c r="JH87" s="59"/>
      <x:c r="JI87" s="59"/>
      <x:c r="JJ87" s="59"/>
      <x:c r="JK87" s="59"/>
      <x:c r="JL87" s="59"/>
      <x:c r="JM87" s="59"/>
      <x:c r="JN87" s="59"/>
      <x:c r="JO87" s="59"/>
      <x:c r="JP87" s="59"/>
      <x:c r="JQ87" s="59"/>
      <x:c r="JR87" s="59"/>
      <x:c r="JS87" s="59"/>
      <x:c r="JT87" s="59"/>
      <x:c r="JU87" s="59"/>
      <x:c r="JV87" s="59"/>
      <x:c r="JW87" s="59"/>
      <x:c r="JX87" s="59"/>
      <x:c r="JY87" s="59"/>
      <x:c r="JZ87" s="59"/>
      <x:c r="KA87" s="59"/>
      <x:c r="KB87" s="59"/>
      <x:c r="KC87" s="59"/>
      <x:c r="KD87" s="59"/>
      <x:c r="KE87" s="59"/>
      <x:c r="KF87" s="59"/>
      <x:c r="KG87" s="59"/>
      <x:c r="KH87" s="59"/>
      <x:c r="KI87" s="59"/>
      <x:c r="KJ87" s="59"/>
      <x:c r="KK87" s="59"/>
      <x:c r="KL87" s="59"/>
      <x:c r="KM87" s="59"/>
      <x:c r="KN87" s="59"/>
      <x:c r="KO87" s="59"/>
      <x:c r="KP87" s="59"/>
      <x:c r="KQ87" s="59"/>
      <x:c r="KR87" s="59"/>
      <x:c r="KS87" s="59"/>
      <x:c r="KT87" s="59"/>
      <x:c r="KU87" s="59"/>
      <x:c r="KV87" s="59"/>
      <x:c r="KW87" s="59"/>
      <x:c r="KX87" s="59"/>
      <x:c r="KY87" s="59"/>
      <x:c r="KZ87" s="59"/>
      <x:c r="LA87" s="59"/>
      <x:c r="LB87" s="59"/>
      <x:c r="LC87" s="59"/>
      <x:c r="LD87" s="59"/>
      <x:c r="LE87" s="59"/>
      <x:c r="LF87" s="59"/>
      <x:c r="LG87" s="59"/>
      <x:c r="LH87" s="59"/>
      <x:c r="LI87" s="59"/>
      <x:c r="LJ87" s="59"/>
      <x:c r="LK87" s="59"/>
      <x:c r="LL87" s="59"/>
      <x:c r="LM87" s="59"/>
      <x:c r="LN87" s="59"/>
      <x:c r="LO87" s="59"/>
      <x:c r="LP87" s="59"/>
      <x:c r="LQ87" s="59"/>
      <x:c r="LR87" s="59"/>
      <x:c r="LS87" s="59"/>
      <x:c r="LT87" s="59"/>
      <x:c r="LU87" s="59"/>
      <x:c r="LV87" s="59"/>
      <x:c r="LW87" s="59"/>
      <x:c r="LX87" s="59"/>
      <x:c r="LY87" s="59"/>
      <x:c r="LZ87" s="59"/>
      <x:c r="MA87" s="59"/>
      <x:c r="MB87" s="59"/>
      <x:c r="MC87" s="59"/>
      <x:c r="MD87" s="59"/>
      <x:c r="ME87" s="59"/>
      <x:c r="MF87" s="59"/>
      <x:c r="MG87" s="59"/>
      <x:c r="MH87" s="59"/>
      <x:c r="MI87" s="59"/>
      <x:c r="MJ87" s="59"/>
      <x:c r="MK87" s="59"/>
      <x:c r="ML87" s="59"/>
      <x:c r="MM87" s="59"/>
      <x:c r="MN87" s="59"/>
      <x:c r="MO87" s="59"/>
      <x:c r="MP87" s="59"/>
      <x:c r="MQ87" s="59"/>
      <x:c r="MR87" s="59"/>
      <x:c r="MS87" s="59"/>
      <x:c r="MT87" s="59"/>
      <x:c r="MU87" s="59"/>
      <x:c r="MV87" s="59"/>
      <x:c r="MW87" s="59"/>
      <x:c r="MX87" s="59"/>
      <x:c r="MY87" s="59"/>
      <x:c r="MZ87" s="59"/>
      <x:c r="NA87" s="59"/>
      <x:c r="NB87" s="59"/>
      <x:c r="NC87" s="59"/>
      <x:c r="ND87" s="59"/>
      <x:c r="NE87" s="59"/>
      <x:c r="NF87" s="59"/>
      <x:c r="NG87" s="59"/>
      <x:c r="NH87" s="59"/>
      <x:c r="NI87" s="59"/>
      <x:c r="NJ87" s="59"/>
      <x:c r="NK87" s="59"/>
      <x:c r="NL87" s="59"/>
      <x:c r="NM87" s="59"/>
      <x:c r="NN87" s="59"/>
      <x:c r="NO87" s="59"/>
      <x:c r="NP87" s="59"/>
      <x:c r="NQ87" s="59"/>
      <x:c r="NR87" s="59"/>
      <x:c r="NS87" s="59"/>
      <x:c r="NT87" s="59"/>
      <x:c r="NU87" s="59"/>
      <x:c r="NV87" s="59"/>
      <x:c r="NW87" s="59"/>
      <x:c r="NX87" s="59"/>
      <x:c r="NY87" s="59"/>
      <x:c r="NZ87" s="59"/>
      <x:c r="OA87" s="59"/>
      <x:c r="OB87" s="59"/>
      <x:c r="OC87" s="59"/>
      <x:c r="OD87" s="59"/>
      <x:c r="OE87" s="59"/>
      <x:c r="OF87" s="59"/>
      <x:c r="OG87" s="59"/>
      <x:c r="OH87" s="59"/>
      <x:c r="OI87" s="59"/>
      <x:c r="OJ87" s="59"/>
      <x:c r="OK87" s="59"/>
      <x:c r="OL87" s="59"/>
      <x:c r="OM87" s="59"/>
      <x:c r="ON87" s="59"/>
      <x:c r="OO87" s="59"/>
      <x:c r="OP87" s="59"/>
      <x:c r="OQ87" s="59"/>
      <x:c r="OR87" s="59"/>
      <x:c r="OS87" s="59"/>
      <x:c r="OT87" s="59"/>
      <x:c r="OU87" s="59"/>
      <x:c r="OV87" s="59"/>
      <x:c r="OW87" s="59"/>
      <x:c r="OX87" s="59"/>
      <x:c r="OY87" s="59"/>
      <x:c r="OZ87" s="59"/>
      <x:c r="PA87" s="59"/>
      <x:c r="PB87" s="59"/>
      <x:c r="PC87" s="59"/>
      <x:c r="PD87" s="59"/>
      <x:c r="PE87" s="59"/>
      <x:c r="PF87" s="59"/>
      <x:c r="PG87" s="59"/>
      <x:c r="PH87" s="59"/>
      <x:c r="PI87" s="59"/>
      <x:c r="PJ87" s="59"/>
      <x:c r="PK87" s="59"/>
      <x:c r="PL87" s="59"/>
      <x:c r="PM87" s="59"/>
      <x:c r="PN87" s="59"/>
      <x:c r="PO87" s="59"/>
      <x:c r="PP87" s="59"/>
      <x:c r="PQ87" s="59"/>
      <x:c r="PR87" s="59"/>
      <x:c r="PS87" s="59"/>
      <x:c r="PT87" s="59"/>
      <x:c r="PU87" s="59"/>
      <x:c r="PV87" s="59"/>
      <x:c r="PW87" s="59"/>
      <x:c r="PX87" s="59"/>
      <x:c r="PY87" s="59"/>
      <x:c r="PZ87" s="59"/>
      <x:c r="QA87" s="59"/>
      <x:c r="QB87" s="59"/>
      <x:c r="QC87" s="59"/>
      <x:c r="QD87" s="59"/>
      <x:c r="QE87" s="59"/>
      <x:c r="QF87" s="59"/>
      <x:c r="QG87" s="59"/>
      <x:c r="QH87" s="59"/>
      <x:c r="QI87" s="59"/>
      <x:c r="QJ87" s="59"/>
      <x:c r="QK87" s="59"/>
      <x:c r="QL87" s="59"/>
      <x:c r="QM87" s="59"/>
      <x:c r="QN87" s="59"/>
      <x:c r="QO87" s="59"/>
      <x:c r="QP87" s="59"/>
      <x:c r="QQ87" s="59"/>
      <x:c r="QR87" s="59"/>
      <x:c r="QS87" s="59"/>
      <x:c r="QT87" s="59"/>
      <x:c r="QU87" s="59"/>
      <x:c r="QV87" s="59"/>
      <x:c r="QW87" s="59"/>
      <x:c r="QX87" s="59"/>
      <x:c r="QY87" s="59"/>
      <x:c r="QZ87" s="59"/>
      <x:c r="RA87" s="59"/>
      <x:c r="RB87" s="59"/>
      <x:c r="RC87" s="59"/>
      <x:c r="RD87" s="59"/>
      <x:c r="RE87" s="59"/>
      <x:c r="RF87" s="59"/>
      <x:c r="RG87" s="59"/>
      <x:c r="RH87" s="59"/>
      <x:c r="RI87" s="59"/>
      <x:c r="RJ87" s="59"/>
      <x:c r="RK87" s="59"/>
      <x:c r="RL87" s="59"/>
      <x:c r="RM87" s="59"/>
      <x:c r="RN87" s="59"/>
      <x:c r="RO87" s="59"/>
      <x:c r="RP87" s="59"/>
      <x:c r="RQ87" s="59"/>
      <x:c r="RR87" s="59"/>
      <x:c r="RS87" s="59"/>
      <x:c r="RT87" s="59"/>
      <x:c r="RU87" s="59"/>
      <x:c r="RV87" s="59"/>
      <x:c r="RW87" s="59"/>
      <x:c r="RX87" s="59"/>
      <x:c r="RY87" s="59"/>
      <x:c r="RZ87" s="59"/>
      <x:c r="SA87" s="59"/>
      <x:c r="SB87" s="59"/>
      <x:c r="SC87" s="59"/>
      <x:c r="SD87" s="59"/>
      <x:c r="SE87" s="59"/>
      <x:c r="SF87" s="59"/>
    </x:row>
    <x:row r="88">
      <x:c r="A88" s="72" t="s">
        <x:v>158</x:v>
      </x:c>
      <x:c r="B88" s="72"/>
      <x:c r="C88" s="72"/>
      <x:c r="D88" s="72"/>
      <x:c r="E88" s="72"/>
      <x:c r="F88" s="72"/>
      <x:c r="G88" s="72"/>
      <x:c r="H88" s="72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  <x:c r="AA88" s="59"/>
      <x:c r="AB88" s="59"/>
      <x:c r="AC88" s="59"/>
      <x:c r="AD88" s="59"/>
      <x:c r="AE88" s="59"/>
      <x:c r="AF88" s="59"/>
      <x:c r="AG88" s="59"/>
      <x:c r="AH88" s="59"/>
      <x:c r="AI88" s="59"/>
      <x:c r="AJ88" s="59"/>
      <x:c r="AK88" s="59"/>
      <x:c r="AL88" s="59"/>
      <x:c r="AM88" s="59"/>
      <x:c r="AN88" s="59"/>
      <x:c r="AO88" s="59"/>
      <x:c r="AP88" s="59"/>
      <x:c r="AQ88" s="59"/>
      <x:c r="AR88" s="59"/>
      <x:c r="AS88" s="59"/>
      <x:c r="AT88" s="59"/>
      <x:c r="AU88" s="59"/>
      <x:c r="AV88" s="59"/>
      <x:c r="AW88" s="59"/>
      <x:c r="AX88" s="59"/>
      <x:c r="AY88" s="59"/>
      <x:c r="AZ88" s="59"/>
      <x:c r="BA88" s="59"/>
      <x:c r="BB88" s="59"/>
      <x:c r="BC88" s="59"/>
      <x:c r="BD88" s="59"/>
      <x:c r="BE88" s="59"/>
      <x:c r="BF88" s="59"/>
      <x:c r="BG88" s="59"/>
      <x:c r="BH88" s="59"/>
      <x:c r="BI88" s="59"/>
      <x:c r="BJ88" s="59"/>
      <x:c r="BK88" s="59"/>
      <x:c r="BL88" s="59"/>
      <x:c r="BM88" s="59"/>
      <x:c r="BN88" s="59"/>
      <x:c r="BO88" s="59"/>
      <x:c r="BP88" s="59"/>
      <x:c r="BQ88" s="59"/>
      <x:c r="BR88" s="59"/>
      <x:c r="BS88" s="59"/>
      <x:c r="BT88" s="59"/>
      <x:c r="BU88" s="59"/>
      <x:c r="BV88" s="59"/>
      <x:c r="BW88" s="59"/>
      <x:c r="BX88" s="59"/>
      <x:c r="BY88" s="59"/>
      <x:c r="BZ88" s="59"/>
      <x:c r="CA88" s="59"/>
      <x:c r="CB88" s="59"/>
      <x:c r="CC88" s="59"/>
      <x:c r="CD88" s="59"/>
      <x:c r="CE88" s="59"/>
      <x:c r="CF88" s="59"/>
      <x:c r="CG88" s="59"/>
      <x:c r="CH88" s="59"/>
      <x:c r="CI88" s="59"/>
      <x:c r="CJ88" s="59"/>
      <x:c r="CK88" s="59"/>
      <x:c r="CL88" s="59"/>
      <x:c r="CM88" s="59"/>
      <x:c r="CN88" s="59"/>
      <x:c r="CO88" s="59"/>
      <x:c r="CP88" s="59"/>
      <x:c r="CQ88" s="59"/>
      <x:c r="CR88" s="59"/>
      <x:c r="CS88" s="59"/>
      <x:c r="CT88" s="59"/>
      <x:c r="CU88" s="59"/>
      <x:c r="CV88" s="59"/>
      <x:c r="CW88" s="59"/>
      <x:c r="CX88" s="59"/>
      <x:c r="CY88" s="59"/>
      <x:c r="CZ88" s="59"/>
      <x:c r="DA88" s="59"/>
      <x:c r="DB88" s="59"/>
      <x:c r="DC88" s="59"/>
      <x:c r="DD88" s="59"/>
      <x:c r="DE88" s="59"/>
      <x:c r="DF88" s="59"/>
      <x:c r="DG88" s="59"/>
      <x:c r="DH88" s="59"/>
      <x:c r="DI88" s="59"/>
      <x:c r="DJ88" s="59"/>
      <x:c r="DK88" s="59"/>
      <x:c r="DL88" s="59"/>
      <x:c r="DM88" s="59"/>
      <x:c r="DN88" s="59"/>
      <x:c r="DO88" s="59"/>
      <x:c r="DP88" s="59"/>
      <x:c r="DQ88" s="59"/>
      <x:c r="DR88" s="59"/>
      <x:c r="DS88" s="59"/>
      <x:c r="DT88" s="59"/>
      <x:c r="DU88" s="59"/>
      <x:c r="DV88" s="59"/>
      <x:c r="DW88" s="59"/>
      <x:c r="DX88" s="59"/>
      <x:c r="DY88" s="59"/>
      <x:c r="DZ88" s="59"/>
      <x:c r="EA88" s="59"/>
      <x:c r="EB88" s="59"/>
      <x:c r="EC88" s="59"/>
      <x:c r="ED88" s="59"/>
      <x:c r="EE88" s="59"/>
      <x:c r="EF88" s="59"/>
      <x:c r="EG88" s="59"/>
      <x:c r="EH88" s="59"/>
      <x:c r="EI88" s="59"/>
      <x:c r="EJ88" s="59"/>
      <x:c r="EK88" s="59"/>
      <x:c r="EL88" s="59"/>
      <x:c r="EM88" s="59"/>
      <x:c r="EN88" s="59"/>
      <x:c r="EO88" s="59"/>
      <x:c r="EP88" s="59"/>
      <x:c r="EQ88" s="59"/>
      <x:c r="ER88" s="59"/>
      <x:c r="ES88" s="59"/>
      <x:c r="ET88" s="59"/>
      <x:c r="EU88" s="59"/>
      <x:c r="EV88" s="59"/>
      <x:c r="EW88" s="59"/>
      <x:c r="EX88" s="59"/>
      <x:c r="EY88" s="59"/>
      <x:c r="EZ88" s="59"/>
      <x:c r="FA88" s="59"/>
      <x:c r="FB88" s="59"/>
      <x:c r="FC88" s="59"/>
      <x:c r="FD88" s="59"/>
      <x:c r="FE88" s="59"/>
      <x:c r="FF88" s="59"/>
      <x:c r="FG88" s="59"/>
      <x:c r="FH88" s="59"/>
      <x:c r="FI88" s="59"/>
      <x:c r="FJ88" s="59"/>
      <x:c r="FK88" s="59"/>
      <x:c r="FL88" s="59"/>
      <x:c r="FM88" s="59"/>
      <x:c r="FN88" s="59"/>
      <x:c r="FO88" s="59"/>
      <x:c r="FP88" s="59"/>
      <x:c r="FQ88" s="59"/>
      <x:c r="FR88" s="59"/>
      <x:c r="FS88" s="59"/>
      <x:c r="FT88" s="59"/>
      <x:c r="FU88" s="59"/>
      <x:c r="FV88" s="59"/>
      <x:c r="FW88" s="59"/>
      <x:c r="FX88" s="59"/>
      <x:c r="FY88" s="59"/>
      <x:c r="FZ88" s="59"/>
      <x:c r="GA88" s="59"/>
      <x:c r="GB88" s="59"/>
      <x:c r="GC88" s="59"/>
      <x:c r="GD88" s="59"/>
      <x:c r="GE88" s="59"/>
      <x:c r="GF88" s="59"/>
      <x:c r="GG88" s="59"/>
      <x:c r="GH88" s="59"/>
      <x:c r="GI88" s="59"/>
      <x:c r="GJ88" s="59"/>
      <x:c r="GK88" s="59"/>
      <x:c r="GL88" s="59"/>
      <x:c r="GM88" s="59"/>
      <x:c r="GN88" s="59"/>
      <x:c r="GO88" s="59"/>
      <x:c r="GP88" s="59"/>
      <x:c r="GQ88" s="59"/>
      <x:c r="GR88" s="59"/>
      <x:c r="GS88" s="59"/>
      <x:c r="GT88" s="59"/>
      <x:c r="GU88" s="59"/>
      <x:c r="GV88" s="59"/>
      <x:c r="GW88" s="59"/>
      <x:c r="GX88" s="59"/>
      <x:c r="GY88" s="59"/>
      <x:c r="GZ88" s="59"/>
      <x:c r="HA88" s="59"/>
      <x:c r="HB88" s="59"/>
      <x:c r="HC88" s="59"/>
      <x:c r="HD88" s="59"/>
      <x:c r="HE88" s="59"/>
      <x:c r="HF88" s="59"/>
      <x:c r="HG88" s="59"/>
      <x:c r="HH88" s="59"/>
      <x:c r="HI88" s="59"/>
      <x:c r="HJ88" s="59"/>
      <x:c r="HK88" s="59"/>
      <x:c r="HL88" s="59"/>
      <x:c r="HM88" s="59"/>
      <x:c r="HN88" s="59"/>
      <x:c r="HO88" s="59"/>
      <x:c r="HP88" s="59"/>
      <x:c r="HQ88" s="59"/>
      <x:c r="HR88" s="59"/>
      <x:c r="HS88" s="59"/>
      <x:c r="HT88" s="59"/>
      <x:c r="HU88" s="59"/>
      <x:c r="HV88" s="59"/>
      <x:c r="HW88" s="59"/>
      <x:c r="HX88" s="59"/>
      <x:c r="HY88" s="59"/>
      <x:c r="HZ88" s="59"/>
      <x:c r="IA88" s="59"/>
      <x:c r="IB88" s="59"/>
      <x:c r="IC88" s="59"/>
      <x:c r="ID88" s="59"/>
      <x:c r="IE88" s="59"/>
      <x:c r="IF88" s="59"/>
      <x:c r="IG88" s="59"/>
      <x:c r="IH88" s="59"/>
      <x:c r="II88" s="59"/>
      <x:c r="IJ88" s="59"/>
      <x:c r="IK88" s="59"/>
      <x:c r="IL88" s="59"/>
      <x:c r="IM88" s="59"/>
      <x:c r="IN88" s="59"/>
      <x:c r="IO88" s="59"/>
      <x:c r="IP88" s="59"/>
      <x:c r="IQ88" s="59"/>
      <x:c r="IR88" s="59"/>
      <x:c r="IS88" s="59"/>
      <x:c r="IT88" s="59"/>
      <x:c r="IU88" s="59"/>
      <x:c r="IV88" s="59"/>
      <x:c r="IW88" s="59"/>
      <x:c r="IX88" s="59"/>
      <x:c r="IY88" s="59"/>
      <x:c r="IZ88" s="59"/>
      <x:c r="JA88" s="59"/>
      <x:c r="JB88" s="59"/>
      <x:c r="JC88" s="59"/>
      <x:c r="JD88" s="59"/>
      <x:c r="JE88" s="59"/>
      <x:c r="JF88" s="59"/>
      <x:c r="JG88" s="59"/>
      <x:c r="JH88" s="59"/>
      <x:c r="JI88" s="59"/>
      <x:c r="JJ88" s="59"/>
      <x:c r="JK88" s="59"/>
      <x:c r="JL88" s="59"/>
      <x:c r="JM88" s="59"/>
      <x:c r="JN88" s="59"/>
      <x:c r="JO88" s="59"/>
      <x:c r="JP88" s="59"/>
      <x:c r="JQ88" s="59"/>
      <x:c r="JR88" s="59"/>
      <x:c r="JS88" s="59"/>
      <x:c r="JT88" s="59"/>
      <x:c r="JU88" s="59"/>
      <x:c r="JV88" s="59"/>
      <x:c r="JW88" s="59"/>
      <x:c r="JX88" s="59"/>
      <x:c r="JY88" s="59"/>
      <x:c r="JZ88" s="59"/>
      <x:c r="KA88" s="59"/>
      <x:c r="KB88" s="59"/>
      <x:c r="KC88" s="59"/>
      <x:c r="KD88" s="59"/>
      <x:c r="KE88" s="59"/>
      <x:c r="KF88" s="59"/>
      <x:c r="KG88" s="59"/>
      <x:c r="KH88" s="59"/>
      <x:c r="KI88" s="59"/>
      <x:c r="KJ88" s="59"/>
      <x:c r="KK88" s="59"/>
      <x:c r="KL88" s="59"/>
      <x:c r="KM88" s="59"/>
      <x:c r="KN88" s="59"/>
      <x:c r="KO88" s="59"/>
      <x:c r="KP88" s="59"/>
      <x:c r="KQ88" s="59"/>
      <x:c r="KR88" s="59"/>
      <x:c r="KS88" s="59"/>
      <x:c r="KT88" s="59"/>
      <x:c r="KU88" s="59"/>
      <x:c r="KV88" s="59"/>
      <x:c r="KW88" s="59"/>
      <x:c r="KX88" s="59"/>
      <x:c r="KY88" s="59"/>
      <x:c r="KZ88" s="59"/>
      <x:c r="LA88" s="59"/>
      <x:c r="LB88" s="59"/>
      <x:c r="LC88" s="59"/>
      <x:c r="LD88" s="59"/>
      <x:c r="LE88" s="59"/>
      <x:c r="LF88" s="59"/>
      <x:c r="LG88" s="59"/>
      <x:c r="LH88" s="59"/>
      <x:c r="LI88" s="59"/>
      <x:c r="LJ88" s="59"/>
      <x:c r="LK88" s="59"/>
      <x:c r="LL88" s="59"/>
      <x:c r="LM88" s="59"/>
      <x:c r="LN88" s="59"/>
      <x:c r="LO88" s="59"/>
      <x:c r="LP88" s="59"/>
      <x:c r="LQ88" s="59"/>
      <x:c r="LR88" s="59"/>
      <x:c r="LS88" s="59"/>
      <x:c r="LT88" s="59"/>
      <x:c r="LU88" s="59"/>
      <x:c r="LV88" s="59"/>
      <x:c r="LW88" s="59"/>
      <x:c r="LX88" s="59"/>
      <x:c r="LY88" s="59"/>
      <x:c r="LZ88" s="59"/>
      <x:c r="MA88" s="59"/>
      <x:c r="MB88" s="59"/>
      <x:c r="MC88" s="59"/>
      <x:c r="MD88" s="59"/>
      <x:c r="ME88" s="59"/>
      <x:c r="MF88" s="59"/>
      <x:c r="MG88" s="59"/>
      <x:c r="MH88" s="59"/>
      <x:c r="MI88" s="59"/>
      <x:c r="MJ88" s="59"/>
      <x:c r="MK88" s="59"/>
      <x:c r="ML88" s="59"/>
      <x:c r="MM88" s="59"/>
      <x:c r="MN88" s="59"/>
      <x:c r="MO88" s="59"/>
      <x:c r="MP88" s="59"/>
      <x:c r="MQ88" s="59"/>
      <x:c r="MR88" s="59"/>
      <x:c r="MS88" s="59"/>
      <x:c r="MT88" s="59"/>
      <x:c r="MU88" s="59"/>
      <x:c r="MV88" s="59"/>
      <x:c r="MW88" s="59"/>
      <x:c r="MX88" s="59"/>
      <x:c r="MY88" s="59"/>
      <x:c r="MZ88" s="59"/>
      <x:c r="NA88" s="59"/>
      <x:c r="NB88" s="59"/>
      <x:c r="NC88" s="59"/>
      <x:c r="ND88" s="59"/>
      <x:c r="NE88" s="59"/>
      <x:c r="NF88" s="59"/>
      <x:c r="NG88" s="59"/>
      <x:c r="NH88" s="59"/>
      <x:c r="NI88" s="59"/>
      <x:c r="NJ88" s="59"/>
      <x:c r="NK88" s="59"/>
      <x:c r="NL88" s="59"/>
      <x:c r="NM88" s="59"/>
      <x:c r="NN88" s="59"/>
      <x:c r="NO88" s="59"/>
      <x:c r="NP88" s="59"/>
      <x:c r="NQ88" s="59"/>
      <x:c r="NR88" s="59"/>
      <x:c r="NS88" s="59"/>
      <x:c r="NT88" s="59"/>
      <x:c r="NU88" s="59"/>
      <x:c r="NV88" s="59"/>
      <x:c r="NW88" s="59"/>
      <x:c r="NX88" s="59"/>
      <x:c r="NY88" s="59"/>
      <x:c r="NZ88" s="59"/>
      <x:c r="OA88" s="59"/>
      <x:c r="OB88" s="59"/>
      <x:c r="OC88" s="59"/>
      <x:c r="OD88" s="59"/>
      <x:c r="OE88" s="59"/>
      <x:c r="OF88" s="59"/>
      <x:c r="OG88" s="59"/>
      <x:c r="OH88" s="59"/>
      <x:c r="OI88" s="59"/>
      <x:c r="OJ88" s="59"/>
      <x:c r="OK88" s="59"/>
      <x:c r="OL88" s="59"/>
      <x:c r="OM88" s="59"/>
      <x:c r="ON88" s="59"/>
      <x:c r="OO88" s="59"/>
      <x:c r="OP88" s="59"/>
      <x:c r="OQ88" s="59"/>
      <x:c r="OR88" s="59"/>
      <x:c r="OS88" s="59"/>
      <x:c r="OT88" s="59"/>
      <x:c r="OU88" s="59"/>
      <x:c r="OV88" s="59"/>
      <x:c r="OW88" s="59"/>
      <x:c r="OX88" s="59"/>
      <x:c r="OY88" s="59"/>
      <x:c r="OZ88" s="59"/>
      <x:c r="PA88" s="59"/>
      <x:c r="PB88" s="59"/>
      <x:c r="PC88" s="59"/>
      <x:c r="PD88" s="59"/>
      <x:c r="PE88" s="59"/>
      <x:c r="PF88" s="59"/>
      <x:c r="PG88" s="59"/>
      <x:c r="PH88" s="59"/>
      <x:c r="PI88" s="59"/>
      <x:c r="PJ88" s="59"/>
      <x:c r="PK88" s="59"/>
      <x:c r="PL88" s="59"/>
      <x:c r="PM88" s="59"/>
      <x:c r="PN88" s="59"/>
      <x:c r="PO88" s="59"/>
      <x:c r="PP88" s="59"/>
      <x:c r="PQ88" s="59"/>
      <x:c r="PR88" s="59"/>
      <x:c r="PS88" s="59"/>
      <x:c r="PT88" s="59"/>
      <x:c r="PU88" s="59"/>
      <x:c r="PV88" s="59"/>
      <x:c r="PW88" s="59"/>
      <x:c r="PX88" s="59"/>
      <x:c r="PY88" s="59"/>
      <x:c r="PZ88" s="59"/>
      <x:c r="QA88" s="59"/>
      <x:c r="QB88" s="59"/>
      <x:c r="QC88" s="59"/>
      <x:c r="QD88" s="59"/>
      <x:c r="QE88" s="59"/>
      <x:c r="QF88" s="59"/>
      <x:c r="QG88" s="59"/>
      <x:c r="QH88" s="59"/>
      <x:c r="QI88" s="59"/>
      <x:c r="QJ88" s="59"/>
      <x:c r="QK88" s="59"/>
      <x:c r="QL88" s="59"/>
      <x:c r="QM88" s="59"/>
      <x:c r="QN88" s="59"/>
      <x:c r="QO88" s="59"/>
      <x:c r="QP88" s="59"/>
      <x:c r="QQ88" s="59"/>
      <x:c r="QR88" s="59"/>
      <x:c r="QS88" s="59"/>
      <x:c r="QT88" s="59"/>
      <x:c r="QU88" s="59"/>
      <x:c r="QV88" s="59"/>
      <x:c r="QW88" s="59"/>
      <x:c r="QX88" s="59"/>
      <x:c r="QY88" s="59"/>
      <x:c r="QZ88" s="59"/>
      <x:c r="RA88" s="59"/>
      <x:c r="RB88" s="59"/>
      <x:c r="RC88" s="59"/>
      <x:c r="RD88" s="59"/>
      <x:c r="RE88" s="59"/>
      <x:c r="RF88" s="59"/>
      <x:c r="RG88" s="59"/>
      <x:c r="RH88" s="59"/>
      <x:c r="RI88" s="59"/>
      <x:c r="RJ88" s="59"/>
      <x:c r="RK88" s="59"/>
      <x:c r="RL88" s="59"/>
      <x:c r="RM88" s="59"/>
      <x:c r="RN88" s="59"/>
      <x:c r="RO88" s="59"/>
      <x:c r="RP88" s="59"/>
      <x:c r="RQ88" s="59"/>
      <x:c r="RR88" s="59"/>
      <x:c r="RS88" s="59"/>
      <x:c r="RT88" s="59"/>
      <x:c r="RU88" s="59"/>
      <x:c r="RV88" s="59"/>
      <x:c r="RW88" s="59"/>
      <x:c r="RX88" s="59"/>
      <x:c r="RY88" s="59"/>
      <x:c r="RZ88" s="59"/>
      <x:c r="SA88" s="59"/>
      <x:c r="SB88" s="59"/>
      <x:c r="SC88" s="59"/>
      <x:c r="SD88" s="59"/>
      <x:c r="SE88" s="59"/>
      <x:c r="SF88" s="59"/>
    </x:row>
    <x:row r="89">
      <x:c r="A89" s="72" t="s">
        <x:v>159</x:v>
      </x:c>
      <x:c r="B89" s="72"/>
      <x:c r="C89" s="72"/>
      <x:c r="D89" s="72"/>
      <x:c r="E89" s="72"/>
      <x:c r="F89" s="72"/>
      <x:c r="G89" s="72"/>
      <x:c r="H89" s="72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  <x:c r="AA89" s="59"/>
      <x:c r="AB89" s="59"/>
      <x:c r="AC89" s="59"/>
      <x:c r="AD89" s="59"/>
      <x:c r="AE89" s="59"/>
      <x:c r="AF89" s="59"/>
      <x:c r="AG89" s="59"/>
      <x:c r="AH89" s="59"/>
      <x:c r="AI89" s="59"/>
      <x:c r="AJ89" s="59"/>
      <x:c r="AK89" s="59"/>
      <x:c r="AL89" s="59"/>
      <x:c r="AM89" s="59"/>
      <x:c r="AN89" s="59"/>
      <x:c r="AO89" s="59"/>
      <x:c r="AP89" s="59"/>
      <x:c r="AQ89" s="59"/>
      <x:c r="AR89" s="59"/>
      <x:c r="AS89" s="59"/>
      <x:c r="AT89" s="59"/>
      <x:c r="AU89" s="59"/>
      <x:c r="AV89" s="59"/>
      <x:c r="AW89" s="59"/>
      <x:c r="AX89" s="59"/>
      <x:c r="AY89" s="59"/>
      <x:c r="AZ89" s="59"/>
      <x:c r="BA89" s="59"/>
      <x:c r="BB89" s="59"/>
      <x:c r="BC89" s="59"/>
      <x:c r="BD89" s="59"/>
      <x:c r="BE89" s="59"/>
      <x:c r="BF89" s="59"/>
      <x:c r="BG89" s="59"/>
      <x:c r="BH89" s="59"/>
      <x:c r="BI89" s="59"/>
      <x:c r="BJ89" s="59"/>
      <x:c r="BK89" s="59"/>
      <x:c r="BL89" s="59"/>
      <x:c r="BM89" s="59"/>
      <x:c r="BN89" s="59"/>
      <x:c r="BO89" s="59"/>
      <x:c r="BP89" s="59"/>
      <x:c r="BQ89" s="59"/>
      <x:c r="BR89" s="59"/>
      <x:c r="BS89" s="59"/>
      <x:c r="BT89" s="59"/>
      <x:c r="BU89" s="59"/>
      <x:c r="BV89" s="59"/>
      <x:c r="BW89" s="59"/>
      <x:c r="BX89" s="59"/>
      <x:c r="BY89" s="59"/>
      <x:c r="BZ89" s="59"/>
      <x:c r="CA89" s="59"/>
      <x:c r="CB89" s="59"/>
      <x:c r="CC89" s="59"/>
      <x:c r="CD89" s="59"/>
      <x:c r="CE89" s="59"/>
      <x:c r="CF89" s="59"/>
      <x:c r="CG89" s="59"/>
      <x:c r="CH89" s="59"/>
      <x:c r="CI89" s="59"/>
      <x:c r="CJ89" s="59"/>
      <x:c r="CK89" s="59"/>
      <x:c r="CL89" s="59"/>
      <x:c r="CM89" s="59"/>
      <x:c r="CN89" s="59"/>
      <x:c r="CO89" s="59"/>
      <x:c r="CP89" s="59"/>
      <x:c r="CQ89" s="59"/>
      <x:c r="CR89" s="59"/>
      <x:c r="CS89" s="59"/>
      <x:c r="CT89" s="59"/>
      <x:c r="CU89" s="59"/>
      <x:c r="CV89" s="59"/>
      <x:c r="CW89" s="59"/>
      <x:c r="CX89" s="59"/>
      <x:c r="CY89" s="59"/>
      <x:c r="CZ89" s="59"/>
      <x:c r="DA89" s="59"/>
      <x:c r="DB89" s="59"/>
      <x:c r="DC89" s="59"/>
      <x:c r="DD89" s="59"/>
      <x:c r="DE89" s="59"/>
      <x:c r="DF89" s="59"/>
      <x:c r="DG89" s="59"/>
      <x:c r="DH89" s="59"/>
      <x:c r="DI89" s="59"/>
      <x:c r="DJ89" s="59"/>
      <x:c r="DK89" s="59"/>
      <x:c r="DL89" s="59"/>
      <x:c r="DM89" s="59"/>
      <x:c r="DN89" s="59"/>
      <x:c r="DO89" s="59"/>
      <x:c r="DP89" s="59"/>
      <x:c r="DQ89" s="59"/>
      <x:c r="DR89" s="59"/>
      <x:c r="DS89" s="59"/>
      <x:c r="DT89" s="59"/>
      <x:c r="DU89" s="59"/>
      <x:c r="DV89" s="59"/>
      <x:c r="DW89" s="59"/>
      <x:c r="DX89" s="59"/>
      <x:c r="DY89" s="59"/>
      <x:c r="DZ89" s="59"/>
      <x:c r="EA89" s="59"/>
      <x:c r="EB89" s="59"/>
      <x:c r="EC89" s="59"/>
      <x:c r="ED89" s="59"/>
      <x:c r="EE89" s="59"/>
      <x:c r="EF89" s="59"/>
      <x:c r="EG89" s="59"/>
      <x:c r="EH89" s="59"/>
      <x:c r="EI89" s="59"/>
      <x:c r="EJ89" s="59"/>
      <x:c r="EK89" s="59"/>
      <x:c r="EL89" s="59"/>
      <x:c r="EM89" s="59"/>
      <x:c r="EN89" s="59"/>
      <x:c r="EO89" s="59"/>
      <x:c r="EP89" s="59"/>
      <x:c r="EQ89" s="59"/>
      <x:c r="ER89" s="59"/>
      <x:c r="ES89" s="59"/>
      <x:c r="ET89" s="59"/>
      <x:c r="EU89" s="59"/>
      <x:c r="EV89" s="59"/>
      <x:c r="EW89" s="59"/>
      <x:c r="EX89" s="59"/>
      <x:c r="EY89" s="59"/>
      <x:c r="EZ89" s="59"/>
      <x:c r="FA89" s="59"/>
      <x:c r="FB89" s="59"/>
      <x:c r="FC89" s="59"/>
      <x:c r="FD89" s="59"/>
      <x:c r="FE89" s="59"/>
      <x:c r="FF89" s="59"/>
      <x:c r="FG89" s="59"/>
      <x:c r="FH89" s="59"/>
      <x:c r="FI89" s="59"/>
      <x:c r="FJ89" s="59"/>
      <x:c r="FK89" s="59"/>
      <x:c r="FL89" s="59"/>
      <x:c r="FM89" s="59"/>
      <x:c r="FN89" s="59"/>
      <x:c r="FO89" s="59"/>
      <x:c r="FP89" s="59"/>
      <x:c r="FQ89" s="59"/>
      <x:c r="FR89" s="59"/>
      <x:c r="FS89" s="59"/>
      <x:c r="FT89" s="59"/>
      <x:c r="FU89" s="59"/>
      <x:c r="FV89" s="59"/>
      <x:c r="FW89" s="59"/>
      <x:c r="FX89" s="59"/>
      <x:c r="FY89" s="59"/>
      <x:c r="FZ89" s="59"/>
      <x:c r="GA89" s="59"/>
      <x:c r="GB89" s="59"/>
      <x:c r="GC89" s="59"/>
      <x:c r="GD89" s="59"/>
      <x:c r="GE89" s="59"/>
      <x:c r="GF89" s="59"/>
      <x:c r="GG89" s="59"/>
      <x:c r="GH89" s="59"/>
      <x:c r="GI89" s="59"/>
      <x:c r="GJ89" s="59"/>
      <x:c r="GK89" s="59"/>
      <x:c r="GL89" s="59"/>
      <x:c r="GM89" s="59"/>
      <x:c r="GN89" s="59"/>
      <x:c r="GO89" s="59"/>
      <x:c r="GP89" s="59"/>
      <x:c r="GQ89" s="59"/>
      <x:c r="GR89" s="59"/>
      <x:c r="GS89" s="59"/>
      <x:c r="GT89" s="59"/>
      <x:c r="GU89" s="59"/>
      <x:c r="GV89" s="59"/>
      <x:c r="GW89" s="59"/>
      <x:c r="GX89" s="59"/>
      <x:c r="GY89" s="59"/>
      <x:c r="GZ89" s="59"/>
      <x:c r="HA89" s="59"/>
      <x:c r="HB89" s="59"/>
      <x:c r="HC89" s="59"/>
      <x:c r="HD89" s="59"/>
      <x:c r="HE89" s="59"/>
      <x:c r="HF89" s="59"/>
      <x:c r="HG89" s="59"/>
      <x:c r="HH89" s="59"/>
      <x:c r="HI89" s="59"/>
      <x:c r="HJ89" s="59"/>
      <x:c r="HK89" s="59"/>
      <x:c r="HL89" s="59"/>
      <x:c r="HM89" s="59"/>
      <x:c r="HN89" s="59"/>
      <x:c r="HO89" s="59"/>
      <x:c r="HP89" s="59"/>
      <x:c r="HQ89" s="59"/>
      <x:c r="HR89" s="59"/>
      <x:c r="HS89" s="59"/>
      <x:c r="HT89" s="59"/>
      <x:c r="HU89" s="59"/>
      <x:c r="HV89" s="59"/>
      <x:c r="HW89" s="59"/>
      <x:c r="HX89" s="59"/>
      <x:c r="HY89" s="59"/>
      <x:c r="HZ89" s="59"/>
      <x:c r="IA89" s="59"/>
      <x:c r="IB89" s="59"/>
      <x:c r="IC89" s="59"/>
      <x:c r="ID89" s="59"/>
      <x:c r="IE89" s="59"/>
      <x:c r="IF89" s="59"/>
      <x:c r="IG89" s="59"/>
      <x:c r="IH89" s="59"/>
      <x:c r="II89" s="59"/>
      <x:c r="IJ89" s="59"/>
      <x:c r="IK89" s="59"/>
      <x:c r="IL89" s="59"/>
      <x:c r="IM89" s="59"/>
      <x:c r="IN89" s="59"/>
      <x:c r="IO89" s="59"/>
      <x:c r="IP89" s="59"/>
      <x:c r="IQ89" s="59"/>
      <x:c r="IR89" s="59"/>
      <x:c r="IS89" s="59"/>
      <x:c r="IT89" s="59"/>
      <x:c r="IU89" s="59"/>
      <x:c r="IV89" s="59"/>
      <x:c r="IW89" s="59"/>
      <x:c r="IX89" s="59"/>
      <x:c r="IY89" s="59"/>
      <x:c r="IZ89" s="59"/>
      <x:c r="JA89" s="59"/>
      <x:c r="JB89" s="59"/>
      <x:c r="JC89" s="59"/>
      <x:c r="JD89" s="59"/>
      <x:c r="JE89" s="59"/>
      <x:c r="JF89" s="59"/>
      <x:c r="JG89" s="59"/>
      <x:c r="JH89" s="59"/>
      <x:c r="JI89" s="59"/>
      <x:c r="JJ89" s="59"/>
      <x:c r="JK89" s="59"/>
      <x:c r="JL89" s="59"/>
      <x:c r="JM89" s="59"/>
      <x:c r="JN89" s="59"/>
      <x:c r="JO89" s="59"/>
      <x:c r="JP89" s="59"/>
      <x:c r="JQ89" s="59"/>
      <x:c r="JR89" s="59"/>
      <x:c r="JS89" s="59"/>
      <x:c r="JT89" s="59"/>
      <x:c r="JU89" s="59"/>
      <x:c r="JV89" s="59"/>
      <x:c r="JW89" s="59"/>
      <x:c r="JX89" s="59"/>
      <x:c r="JY89" s="59"/>
      <x:c r="JZ89" s="59"/>
      <x:c r="KA89" s="59"/>
      <x:c r="KB89" s="59"/>
      <x:c r="KC89" s="59"/>
      <x:c r="KD89" s="59"/>
      <x:c r="KE89" s="59"/>
      <x:c r="KF89" s="59"/>
      <x:c r="KG89" s="59"/>
      <x:c r="KH89" s="59"/>
      <x:c r="KI89" s="59"/>
      <x:c r="KJ89" s="59"/>
      <x:c r="KK89" s="59"/>
      <x:c r="KL89" s="59"/>
      <x:c r="KM89" s="59"/>
      <x:c r="KN89" s="59"/>
      <x:c r="KO89" s="59"/>
      <x:c r="KP89" s="59"/>
      <x:c r="KQ89" s="59"/>
      <x:c r="KR89" s="59"/>
      <x:c r="KS89" s="59"/>
      <x:c r="KT89" s="59"/>
      <x:c r="KU89" s="59"/>
      <x:c r="KV89" s="59"/>
      <x:c r="KW89" s="59"/>
      <x:c r="KX89" s="59"/>
      <x:c r="KY89" s="59"/>
      <x:c r="KZ89" s="59"/>
      <x:c r="LA89" s="59"/>
      <x:c r="LB89" s="59"/>
      <x:c r="LC89" s="59"/>
      <x:c r="LD89" s="59"/>
      <x:c r="LE89" s="59"/>
      <x:c r="LF89" s="59"/>
      <x:c r="LG89" s="59"/>
      <x:c r="LH89" s="59"/>
      <x:c r="LI89" s="59"/>
      <x:c r="LJ89" s="59"/>
      <x:c r="LK89" s="59"/>
      <x:c r="LL89" s="59"/>
      <x:c r="LM89" s="59"/>
      <x:c r="LN89" s="59"/>
      <x:c r="LO89" s="59"/>
      <x:c r="LP89" s="59"/>
      <x:c r="LQ89" s="59"/>
      <x:c r="LR89" s="59"/>
      <x:c r="LS89" s="59"/>
      <x:c r="LT89" s="59"/>
      <x:c r="LU89" s="59"/>
      <x:c r="LV89" s="59"/>
      <x:c r="LW89" s="59"/>
      <x:c r="LX89" s="59"/>
      <x:c r="LY89" s="59"/>
      <x:c r="LZ89" s="59"/>
      <x:c r="MA89" s="59"/>
      <x:c r="MB89" s="59"/>
      <x:c r="MC89" s="59"/>
      <x:c r="MD89" s="59"/>
      <x:c r="ME89" s="59"/>
      <x:c r="MF89" s="59"/>
      <x:c r="MG89" s="59"/>
      <x:c r="MH89" s="59"/>
      <x:c r="MI89" s="59"/>
      <x:c r="MJ89" s="59"/>
      <x:c r="MK89" s="59"/>
      <x:c r="ML89" s="59"/>
      <x:c r="MM89" s="59"/>
      <x:c r="MN89" s="59"/>
      <x:c r="MO89" s="59"/>
      <x:c r="MP89" s="59"/>
      <x:c r="MQ89" s="59"/>
      <x:c r="MR89" s="59"/>
      <x:c r="MS89" s="59"/>
      <x:c r="MT89" s="59"/>
      <x:c r="MU89" s="59"/>
      <x:c r="MV89" s="59"/>
      <x:c r="MW89" s="59"/>
      <x:c r="MX89" s="59"/>
      <x:c r="MY89" s="59"/>
      <x:c r="MZ89" s="59"/>
      <x:c r="NA89" s="59"/>
      <x:c r="NB89" s="59"/>
      <x:c r="NC89" s="59"/>
      <x:c r="ND89" s="59"/>
      <x:c r="NE89" s="59"/>
      <x:c r="NF89" s="59"/>
      <x:c r="NG89" s="59"/>
      <x:c r="NH89" s="59"/>
      <x:c r="NI89" s="59"/>
      <x:c r="NJ89" s="59"/>
      <x:c r="NK89" s="59"/>
      <x:c r="NL89" s="59"/>
      <x:c r="NM89" s="59"/>
      <x:c r="NN89" s="59"/>
      <x:c r="NO89" s="59"/>
      <x:c r="NP89" s="59"/>
      <x:c r="NQ89" s="59"/>
      <x:c r="NR89" s="59"/>
      <x:c r="NS89" s="59"/>
      <x:c r="NT89" s="59"/>
      <x:c r="NU89" s="59"/>
      <x:c r="NV89" s="59"/>
      <x:c r="NW89" s="59"/>
      <x:c r="NX89" s="59"/>
      <x:c r="NY89" s="59"/>
      <x:c r="NZ89" s="59"/>
      <x:c r="OA89" s="59"/>
      <x:c r="OB89" s="59"/>
      <x:c r="OC89" s="59"/>
      <x:c r="OD89" s="59"/>
      <x:c r="OE89" s="59"/>
      <x:c r="OF89" s="59"/>
      <x:c r="OG89" s="59"/>
      <x:c r="OH89" s="59"/>
      <x:c r="OI89" s="59"/>
      <x:c r="OJ89" s="59"/>
      <x:c r="OK89" s="59"/>
      <x:c r="OL89" s="59"/>
      <x:c r="OM89" s="59"/>
      <x:c r="ON89" s="59"/>
      <x:c r="OO89" s="59"/>
      <x:c r="OP89" s="59"/>
      <x:c r="OQ89" s="59"/>
      <x:c r="OR89" s="59"/>
      <x:c r="OS89" s="59"/>
      <x:c r="OT89" s="59"/>
      <x:c r="OU89" s="59"/>
      <x:c r="OV89" s="59"/>
      <x:c r="OW89" s="59"/>
      <x:c r="OX89" s="59"/>
      <x:c r="OY89" s="59"/>
      <x:c r="OZ89" s="59"/>
      <x:c r="PA89" s="59"/>
      <x:c r="PB89" s="59"/>
      <x:c r="PC89" s="59"/>
      <x:c r="PD89" s="59"/>
      <x:c r="PE89" s="59"/>
      <x:c r="PF89" s="59"/>
      <x:c r="PG89" s="59"/>
      <x:c r="PH89" s="59"/>
      <x:c r="PI89" s="59"/>
      <x:c r="PJ89" s="59"/>
      <x:c r="PK89" s="59"/>
      <x:c r="PL89" s="59"/>
      <x:c r="PM89" s="59"/>
      <x:c r="PN89" s="59"/>
      <x:c r="PO89" s="59"/>
      <x:c r="PP89" s="59"/>
      <x:c r="PQ89" s="59"/>
      <x:c r="PR89" s="59"/>
      <x:c r="PS89" s="59"/>
      <x:c r="PT89" s="59"/>
      <x:c r="PU89" s="59"/>
      <x:c r="PV89" s="59"/>
      <x:c r="PW89" s="59"/>
      <x:c r="PX89" s="59"/>
      <x:c r="PY89" s="59"/>
      <x:c r="PZ89" s="59"/>
      <x:c r="QA89" s="59"/>
      <x:c r="QB89" s="59"/>
      <x:c r="QC89" s="59"/>
      <x:c r="QD89" s="59"/>
      <x:c r="QE89" s="59"/>
      <x:c r="QF89" s="59"/>
      <x:c r="QG89" s="59"/>
      <x:c r="QH89" s="59"/>
      <x:c r="QI89" s="59"/>
      <x:c r="QJ89" s="59"/>
      <x:c r="QK89" s="59"/>
      <x:c r="QL89" s="59"/>
      <x:c r="QM89" s="59"/>
      <x:c r="QN89" s="59"/>
      <x:c r="QO89" s="59"/>
      <x:c r="QP89" s="59"/>
      <x:c r="QQ89" s="59"/>
      <x:c r="QR89" s="59"/>
      <x:c r="QS89" s="59"/>
      <x:c r="QT89" s="59"/>
      <x:c r="QU89" s="59"/>
      <x:c r="QV89" s="59"/>
      <x:c r="QW89" s="59"/>
      <x:c r="QX89" s="59"/>
      <x:c r="QY89" s="59"/>
      <x:c r="QZ89" s="59"/>
      <x:c r="RA89" s="59"/>
      <x:c r="RB89" s="59"/>
      <x:c r="RC89" s="59"/>
      <x:c r="RD89" s="59"/>
      <x:c r="RE89" s="59"/>
      <x:c r="RF89" s="59"/>
      <x:c r="RG89" s="59"/>
      <x:c r="RH89" s="59"/>
      <x:c r="RI89" s="59"/>
      <x:c r="RJ89" s="59"/>
      <x:c r="RK89" s="59"/>
      <x:c r="RL89" s="59"/>
      <x:c r="RM89" s="59"/>
      <x:c r="RN89" s="59"/>
      <x:c r="RO89" s="59"/>
      <x:c r="RP89" s="59"/>
      <x:c r="RQ89" s="59"/>
      <x:c r="RR89" s="59"/>
      <x:c r="RS89" s="59"/>
      <x:c r="RT89" s="59"/>
      <x:c r="RU89" s="59"/>
      <x:c r="RV89" s="59"/>
      <x:c r="RW89" s="59"/>
      <x:c r="RX89" s="59"/>
      <x:c r="RY89" s="59"/>
      <x:c r="RZ89" s="59"/>
      <x:c r="SA89" s="59"/>
      <x:c r="SB89" s="59"/>
      <x:c r="SC89" s="59"/>
      <x:c r="SD89" s="59"/>
      <x:c r="SE89" s="59"/>
      <x:c r="SF89" s="59"/>
    </x:row>
    <x:row r="91" ht="15.75" customHeight="1">
      <x:c r="A91" s="62" t="s">
        <x:v>160</x:v>
      </x:c>
      <x:c r="B91" s="62"/>
      <x:c r="C91" s="62"/>
      <x:c r="D91" s="62"/>
      <x:c r="E91" s="62"/>
      <x:c r="F91" s="62"/>
      <x:c r="G91" s="62"/>
      <x:c r="H91" s="62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  <x:c r="AA91" s="59"/>
      <x:c r="AB91" s="59"/>
      <x:c r="AC91" s="59"/>
      <x:c r="AD91" s="59"/>
      <x:c r="AE91" s="59"/>
      <x:c r="AF91" s="59"/>
      <x:c r="AG91" s="59"/>
      <x:c r="AH91" s="59"/>
      <x:c r="AI91" s="59"/>
      <x:c r="AJ91" s="59"/>
      <x:c r="AK91" s="59"/>
      <x:c r="AL91" s="59"/>
      <x:c r="AM91" s="59"/>
      <x:c r="AN91" s="59"/>
      <x:c r="AO91" s="59"/>
      <x:c r="AP91" s="59"/>
      <x:c r="AQ91" s="59"/>
      <x:c r="AR91" s="59"/>
      <x:c r="AS91" s="59"/>
      <x:c r="AT91" s="59"/>
      <x:c r="AU91" s="59"/>
      <x:c r="AV91" s="59"/>
      <x:c r="AW91" s="59"/>
      <x:c r="AX91" s="59"/>
      <x:c r="AY91" s="59"/>
      <x:c r="AZ91" s="59"/>
      <x:c r="BA91" s="59"/>
      <x:c r="BB91" s="59"/>
      <x:c r="BC91" s="59"/>
      <x:c r="BD91" s="59"/>
      <x:c r="BE91" s="59"/>
      <x:c r="BF91" s="59"/>
      <x:c r="BG91" s="59"/>
      <x:c r="BH91" s="59"/>
      <x:c r="BI91" s="59"/>
      <x:c r="BJ91" s="59"/>
      <x:c r="BK91" s="59"/>
      <x:c r="BL91" s="59"/>
      <x:c r="BM91" s="59"/>
      <x:c r="BN91" s="59"/>
      <x:c r="BO91" s="59"/>
      <x:c r="BP91" s="59"/>
      <x:c r="BQ91" s="59"/>
      <x:c r="BR91" s="59"/>
      <x:c r="BS91" s="59"/>
      <x:c r="BT91" s="59"/>
      <x:c r="BU91" s="59"/>
      <x:c r="BV91" s="59"/>
      <x:c r="BW91" s="59"/>
      <x:c r="BX91" s="59"/>
      <x:c r="BY91" s="59"/>
      <x:c r="BZ91" s="59"/>
      <x:c r="CA91" s="59"/>
      <x:c r="CB91" s="59"/>
      <x:c r="CC91" s="59"/>
      <x:c r="CD91" s="59"/>
      <x:c r="CE91" s="59"/>
      <x:c r="CF91" s="59"/>
      <x:c r="CG91" s="59"/>
      <x:c r="CH91" s="59"/>
      <x:c r="CI91" s="59"/>
      <x:c r="CJ91" s="59"/>
      <x:c r="CK91" s="59"/>
      <x:c r="CL91" s="59"/>
      <x:c r="CM91" s="59"/>
      <x:c r="CN91" s="59"/>
      <x:c r="CO91" s="59"/>
      <x:c r="CP91" s="59"/>
      <x:c r="CQ91" s="59"/>
      <x:c r="CR91" s="59"/>
      <x:c r="CS91" s="59"/>
      <x:c r="CT91" s="59"/>
      <x:c r="CU91" s="59"/>
      <x:c r="CV91" s="59"/>
      <x:c r="CW91" s="59"/>
      <x:c r="CX91" s="59"/>
      <x:c r="CY91" s="59"/>
      <x:c r="CZ91" s="59"/>
      <x:c r="DA91" s="59"/>
      <x:c r="DB91" s="59"/>
      <x:c r="DC91" s="59"/>
      <x:c r="DD91" s="59"/>
      <x:c r="DE91" s="59"/>
      <x:c r="DF91" s="59"/>
      <x:c r="DG91" s="59"/>
      <x:c r="DH91" s="59"/>
      <x:c r="DI91" s="59"/>
      <x:c r="DJ91" s="59"/>
      <x:c r="DK91" s="59"/>
      <x:c r="DL91" s="59"/>
      <x:c r="DM91" s="59"/>
      <x:c r="DN91" s="59"/>
      <x:c r="DO91" s="59"/>
      <x:c r="DP91" s="59"/>
      <x:c r="DQ91" s="59"/>
      <x:c r="DR91" s="59"/>
      <x:c r="DS91" s="59"/>
      <x:c r="DT91" s="59"/>
      <x:c r="DU91" s="59"/>
      <x:c r="DV91" s="59"/>
      <x:c r="DW91" s="59"/>
      <x:c r="DX91" s="59"/>
      <x:c r="DY91" s="59"/>
      <x:c r="DZ91" s="59"/>
      <x:c r="EA91" s="59"/>
      <x:c r="EB91" s="59"/>
      <x:c r="EC91" s="59"/>
      <x:c r="ED91" s="59"/>
      <x:c r="EE91" s="59"/>
      <x:c r="EF91" s="59"/>
      <x:c r="EG91" s="59"/>
      <x:c r="EH91" s="59"/>
      <x:c r="EI91" s="59"/>
      <x:c r="EJ91" s="59"/>
      <x:c r="EK91" s="59"/>
      <x:c r="EL91" s="59"/>
      <x:c r="EM91" s="59"/>
      <x:c r="EN91" s="59"/>
      <x:c r="EO91" s="59"/>
      <x:c r="EP91" s="59"/>
      <x:c r="EQ91" s="59"/>
      <x:c r="ER91" s="59"/>
      <x:c r="ES91" s="59"/>
      <x:c r="ET91" s="59"/>
      <x:c r="EU91" s="59"/>
      <x:c r="EV91" s="59"/>
      <x:c r="EW91" s="59"/>
      <x:c r="EX91" s="59"/>
      <x:c r="EY91" s="59"/>
      <x:c r="EZ91" s="59"/>
      <x:c r="FA91" s="59"/>
      <x:c r="FB91" s="59"/>
      <x:c r="FC91" s="59"/>
      <x:c r="FD91" s="59"/>
      <x:c r="FE91" s="59"/>
      <x:c r="FF91" s="59"/>
      <x:c r="FG91" s="59"/>
      <x:c r="FH91" s="59"/>
      <x:c r="FI91" s="59"/>
      <x:c r="FJ91" s="59"/>
      <x:c r="FK91" s="59"/>
      <x:c r="FL91" s="59"/>
      <x:c r="FM91" s="59"/>
      <x:c r="FN91" s="59"/>
      <x:c r="FO91" s="59"/>
      <x:c r="FP91" s="59"/>
      <x:c r="FQ91" s="59"/>
      <x:c r="FR91" s="59"/>
      <x:c r="FS91" s="59"/>
      <x:c r="FT91" s="59"/>
      <x:c r="FU91" s="59"/>
      <x:c r="FV91" s="59"/>
      <x:c r="FW91" s="59"/>
      <x:c r="FX91" s="59"/>
      <x:c r="FY91" s="59"/>
      <x:c r="FZ91" s="59"/>
      <x:c r="GA91" s="59"/>
      <x:c r="GB91" s="59"/>
      <x:c r="GC91" s="59"/>
      <x:c r="GD91" s="59"/>
      <x:c r="GE91" s="59"/>
      <x:c r="GF91" s="59"/>
      <x:c r="GG91" s="59"/>
      <x:c r="GH91" s="59"/>
      <x:c r="GI91" s="59"/>
      <x:c r="GJ91" s="59"/>
      <x:c r="GK91" s="59"/>
      <x:c r="GL91" s="59"/>
      <x:c r="GM91" s="59"/>
      <x:c r="GN91" s="59"/>
      <x:c r="GO91" s="59"/>
      <x:c r="GP91" s="59"/>
      <x:c r="GQ91" s="59"/>
      <x:c r="GR91" s="59"/>
      <x:c r="GS91" s="59"/>
      <x:c r="GT91" s="59"/>
      <x:c r="GU91" s="59"/>
      <x:c r="GV91" s="59"/>
      <x:c r="GW91" s="59"/>
      <x:c r="GX91" s="59"/>
      <x:c r="GY91" s="59"/>
      <x:c r="GZ91" s="59"/>
      <x:c r="HA91" s="59"/>
      <x:c r="HB91" s="59"/>
      <x:c r="HC91" s="59"/>
      <x:c r="HD91" s="59"/>
      <x:c r="HE91" s="59"/>
      <x:c r="HF91" s="59"/>
      <x:c r="HG91" s="59"/>
      <x:c r="HH91" s="59"/>
      <x:c r="HI91" s="59"/>
      <x:c r="HJ91" s="59"/>
      <x:c r="HK91" s="59"/>
      <x:c r="HL91" s="59"/>
      <x:c r="HM91" s="59"/>
      <x:c r="HN91" s="59"/>
      <x:c r="HO91" s="59"/>
      <x:c r="HP91" s="59"/>
      <x:c r="HQ91" s="59"/>
      <x:c r="HR91" s="59"/>
      <x:c r="HS91" s="59"/>
      <x:c r="HT91" s="59"/>
      <x:c r="HU91" s="59"/>
      <x:c r="HV91" s="59"/>
      <x:c r="HW91" s="59"/>
      <x:c r="HX91" s="59"/>
      <x:c r="HY91" s="59"/>
      <x:c r="HZ91" s="59"/>
      <x:c r="IA91" s="59"/>
      <x:c r="IB91" s="59"/>
      <x:c r="IC91" s="59"/>
      <x:c r="ID91" s="59"/>
      <x:c r="IE91" s="59"/>
      <x:c r="IF91" s="59"/>
      <x:c r="IG91" s="59"/>
      <x:c r="IH91" s="59"/>
      <x:c r="II91" s="59"/>
      <x:c r="IJ91" s="59"/>
      <x:c r="IK91" s="59"/>
      <x:c r="IL91" s="59"/>
      <x:c r="IM91" s="59"/>
      <x:c r="IN91" s="59"/>
      <x:c r="IO91" s="59"/>
      <x:c r="IP91" s="59"/>
      <x:c r="IQ91" s="59"/>
      <x:c r="IR91" s="59"/>
      <x:c r="IS91" s="59"/>
      <x:c r="IT91" s="59"/>
      <x:c r="IU91" s="59"/>
      <x:c r="IV91" s="59"/>
      <x:c r="IW91" s="59"/>
      <x:c r="IX91" s="59"/>
      <x:c r="IY91" s="59"/>
      <x:c r="IZ91" s="59"/>
      <x:c r="JA91" s="59"/>
      <x:c r="JB91" s="59"/>
      <x:c r="JC91" s="59"/>
      <x:c r="JD91" s="59"/>
      <x:c r="JE91" s="59"/>
      <x:c r="JF91" s="59"/>
      <x:c r="JG91" s="59"/>
      <x:c r="JH91" s="59"/>
      <x:c r="JI91" s="59"/>
      <x:c r="JJ91" s="59"/>
      <x:c r="JK91" s="59"/>
      <x:c r="JL91" s="59"/>
      <x:c r="JM91" s="59"/>
      <x:c r="JN91" s="59"/>
      <x:c r="JO91" s="59"/>
      <x:c r="JP91" s="59"/>
      <x:c r="JQ91" s="59"/>
      <x:c r="JR91" s="59"/>
      <x:c r="JS91" s="59"/>
      <x:c r="JT91" s="59"/>
      <x:c r="JU91" s="59"/>
      <x:c r="JV91" s="59"/>
      <x:c r="JW91" s="59"/>
      <x:c r="JX91" s="59"/>
      <x:c r="JY91" s="59"/>
      <x:c r="JZ91" s="59"/>
      <x:c r="KA91" s="59"/>
      <x:c r="KB91" s="59"/>
      <x:c r="KC91" s="59"/>
      <x:c r="KD91" s="59"/>
      <x:c r="KE91" s="59"/>
      <x:c r="KF91" s="59"/>
      <x:c r="KG91" s="59"/>
      <x:c r="KH91" s="59"/>
      <x:c r="KI91" s="59"/>
      <x:c r="KJ91" s="59"/>
      <x:c r="KK91" s="59"/>
      <x:c r="KL91" s="59"/>
      <x:c r="KM91" s="59"/>
      <x:c r="KN91" s="59"/>
      <x:c r="KO91" s="59"/>
      <x:c r="KP91" s="59"/>
      <x:c r="KQ91" s="59"/>
      <x:c r="KR91" s="59"/>
      <x:c r="KS91" s="59"/>
      <x:c r="KT91" s="59"/>
      <x:c r="KU91" s="59"/>
      <x:c r="KV91" s="59"/>
      <x:c r="KW91" s="59"/>
      <x:c r="KX91" s="59"/>
      <x:c r="KY91" s="59"/>
      <x:c r="KZ91" s="59"/>
      <x:c r="LA91" s="59"/>
      <x:c r="LB91" s="59"/>
      <x:c r="LC91" s="59"/>
      <x:c r="LD91" s="59"/>
      <x:c r="LE91" s="59"/>
      <x:c r="LF91" s="59"/>
      <x:c r="LG91" s="59"/>
      <x:c r="LH91" s="59"/>
      <x:c r="LI91" s="59"/>
      <x:c r="LJ91" s="59"/>
      <x:c r="LK91" s="59"/>
      <x:c r="LL91" s="59"/>
      <x:c r="LM91" s="59"/>
      <x:c r="LN91" s="59"/>
      <x:c r="LO91" s="59"/>
      <x:c r="LP91" s="59"/>
      <x:c r="LQ91" s="59"/>
      <x:c r="LR91" s="59"/>
      <x:c r="LS91" s="59"/>
      <x:c r="LT91" s="59"/>
      <x:c r="LU91" s="59"/>
      <x:c r="LV91" s="59"/>
      <x:c r="LW91" s="59"/>
      <x:c r="LX91" s="59"/>
      <x:c r="LY91" s="59"/>
      <x:c r="LZ91" s="59"/>
      <x:c r="MA91" s="59"/>
      <x:c r="MB91" s="59"/>
      <x:c r="MC91" s="59"/>
      <x:c r="MD91" s="59"/>
      <x:c r="ME91" s="59"/>
      <x:c r="MF91" s="59"/>
      <x:c r="MG91" s="59"/>
      <x:c r="MH91" s="59"/>
      <x:c r="MI91" s="59"/>
      <x:c r="MJ91" s="59"/>
      <x:c r="MK91" s="59"/>
      <x:c r="ML91" s="59"/>
      <x:c r="MM91" s="59"/>
      <x:c r="MN91" s="59"/>
      <x:c r="MO91" s="59"/>
      <x:c r="MP91" s="59"/>
      <x:c r="MQ91" s="59"/>
      <x:c r="MR91" s="59"/>
      <x:c r="MS91" s="59"/>
      <x:c r="MT91" s="59"/>
      <x:c r="MU91" s="59"/>
      <x:c r="MV91" s="59"/>
      <x:c r="MW91" s="59"/>
      <x:c r="MX91" s="59"/>
      <x:c r="MY91" s="59"/>
      <x:c r="MZ91" s="59"/>
      <x:c r="NA91" s="59"/>
      <x:c r="NB91" s="59"/>
      <x:c r="NC91" s="59"/>
      <x:c r="ND91" s="59"/>
      <x:c r="NE91" s="59"/>
      <x:c r="NF91" s="59"/>
      <x:c r="NG91" s="59"/>
      <x:c r="NH91" s="59"/>
      <x:c r="NI91" s="59"/>
      <x:c r="NJ91" s="59"/>
      <x:c r="NK91" s="59"/>
      <x:c r="NL91" s="59"/>
      <x:c r="NM91" s="59"/>
      <x:c r="NN91" s="59"/>
      <x:c r="NO91" s="59"/>
      <x:c r="NP91" s="59"/>
      <x:c r="NQ91" s="59"/>
      <x:c r="NR91" s="59"/>
      <x:c r="NS91" s="59"/>
      <x:c r="NT91" s="59"/>
      <x:c r="NU91" s="59"/>
      <x:c r="NV91" s="59"/>
      <x:c r="NW91" s="59"/>
      <x:c r="NX91" s="59"/>
      <x:c r="NY91" s="59"/>
      <x:c r="NZ91" s="59"/>
      <x:c r="OA91" s="59"/>
      <x:c r="OB91" s="59"/>
      <x:c r="OC91" s="59"/>
      <x:c r="OD91" s="59"/>
      <x:c r="OE91" s="59"/>
      <x:c r="OF91" s="59"/>
      <x:c r="OG91" s="59"/>
      <x:c r="OH91" s="59"/>
      <x:c r="OI91" s="59"/>
      <x:c r="OJ91" s="59"/>
      <x:c r="OK91" s="59"/>
      <x:c r="OL91" s="59"/>
      <x:c r="OM91" s="59"/>
      <x:c r="ON91" s="59"/>
      <x:c r="OO91" s="59"/>
      <x:c r="OP91" s="59"/>
      <x:c r="OQ91" s="59"/>
      <x:c r="OR91" s="59"/>
      <x:c r="OS91" s="59"/>
      <x:c r="OT91" s="59"/>
      <x:c r="OU91" s="59"/>
      <x:c r="OV91" s="59"/>
      <x:c r="OW91" s="59"/>
      <x:c r="OX91" s="59"/>
      <x:c r="OY91" s="59"/>
      <x:c r="OZ91" s="59"/>
      <x:c r="PA91" s="59"/>
      <x:c r="PB91" s="59"/>
      <x:c r="PC91" s="59"/>
      <x:c r="PD91" s="59"/>
      <x:c r="PE91" s="59"/>
      <x:c r="PF91" s="59"/>
      <x:c r="PG91" s="59"/>
      <x:c r="PH91" s="59"/>
      <x:c r="PI91" s="59"/>
      <x:c r="PJ91" s="59"/>
      <x:c r="PK91" s="59"/>
      <x:c r="PL91" s="59"/>
      <x:c r="PM91" s="59"/>
      <x:c r="PN91" s="59"/>
      <x:c r="PO91" s="59"/>
      <x:c r="PP91" s="59"/>
      <x:c r="PQ91" s="59"/>
      <x:c r="PR91" s="59"/>
      <x:c r="PS91" s="59"/>
      <x:c r="PT91" s="59"/>
      <x:c r="PU91" s="59"/>
      <x:c r="PV91" s="59"/>
      <x:c r="PW91" s="59"/>
      <x:c r="PX91" s="59"/>
      <x:c r="PY91" s="59"/>
      <x:c r="PZ91" s="59"/>
      <x:c r="QA91" s="59"/>
      <x:c r="QB91" s="59"/>
      <x:c r="QC91" s="59"/>
      <x:c r="QD91" s="59"/>
      <x:c r="QE91" s="59"/>
      <x:c r="QF91" s="59"/>
      <x:c r="QG91" s="59"/>
      <x:c r="QH91" s="59"/>
      <x:c r="QI91" s="59"/>
      <x:c r="QJ91" s="59"/>
      <x:c r="QK91" s="59"/>
      <x:c r="QL91" s="59"/>
      <x:c r="QM91" s="59"/>
      <x:c r="QN91" s="59"/>
      <x:c r="QO91" s="59"/>
      <x:c r="QP91" s="59"/>
      <x:c r="QQ91" s="59"/>
      <x:c r="QR91" s="59"/>
      <x:c r="QS91" s="59"/>
      <x:c r="QT91" s="59"/>
      <x:c r="QU91" s="59"/>
      <x:c r="QV91" s="59"/>
      <x:c r="QW91" s="59"/>
      <x:c r="QX91" s="59"/>
      <x:c r="QY91" s="59"/>
      <x:c r="QZ91" s="59"/>
      <x:c r="RA91" s="59"/>
      <x:c r="RB91" s="59"/>
      <x:c r="RC91" s="59"/>
      <x:c r="RD91" s="59"/>
      <x:c r="RE91" s="59"/>
      <x:c r="RF91" s="59"/>
      <x:c r="RG91" s="59"/>
      <x:c r="RH91" s="59"/>
      <x:c r="RI91" s="59"/>
      <x:c r="RJ91" s="59"/>
      <x:c r="RK91" s="59"/>
      <x:c r="RL91" s="59"/>
      <x:c r="RM91" s="59"/>
      <x:c r="RN91" s="59"/>
      <x:c r="RO91" s="59"/>
      <x:c r="RP91" s="59"/>
      <x:c r="RQ91" s="59"/>
      <x:c r="RR91" s="59"/>
      <x:c r="RS91" s="59"/>
      <x:c r="RT91" s="59"/>
      <x:c r="RU91" s="59"/>
      <x:c r="RV91" s="59"/>
      <x:c r="RW91" s="59"/>
      <x:c r="RX91" s="59"/>
      <x:c r="RY91" s="59"/>
      <x:c r="RZ91" s="59"/>
      <x:c r="SA91" s="59"/>
      <x:c r="SB91" s="59"/>
      <x:c r="SC91" s="59"/>
      <x:c r="SD91" s="59"/>
      <x:c r="SE91" s="59"/>
      <x:c r="SF91" s="59"/>
    </x:row>
    <x:row r="92" ht="27">
      <x:c r="A92" s="73" t="s">
        <x:v>161</x:v>
      </x:c>
      <x:c r="B92" s="63" t="s">
        <x:v>162</x:v>
      </x:c>
      <x:c r="C92" s="63"/>
      <x:c r="D92" s="63"/>
      <x:c r="E92" s="63"/>
      <x:c r="F92" s="63"/>
      <x:c r="G92" s="63"/>
      <x:c r="H92" s="63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  <x:c r="AA92" s="59"/>
      <x:c r="AB92" s="59"/>
      <x:c r="AC92" s="59"/>
      <x:c r="AD92" s="59"/>
      <x:c r="AE92" s="59"/>
      <x:c r="AF92" s="59"/>
      <x:c r="AG92" s="59"/>
      <x:c r="AH92" s="59"/>
      <x:c r="AI92" s="59"/>
      <x:c r="AJ92" s="59"/>
      <x:c r="AK92" s="59"/>
      <x:c r="AL92" s="59"/>
      <x:c r="AM92" s="59"/>
      <x:c r="AN92" s="59"/>
      <x:c r="AO92" s="59"/>
      <x:c r="AP92" s="59"/>
      <x:c r="AQ92" s="59"/>
      <x:c r="AR92" s="59"/>
      <x:c r="AS92" s="59"/>
      <x:c r="AT92" s="59"/>
      <x:c r="AU92" s="59"/>
      <x:c r="AV92" s="59"/>
      <x:c r="AW92" s="59"/>
      <x:c r="AX92" s="59"/>
      <x:c r="AY92" s="59"/>
      <x:c r="AZ92" s="59"/>
      <x:c r="BA92" s="59"/>
      <x:c r="BB92" s="59"/>
      <x:c r="BC92" s="59"/>
      <x:c r="BD92" s="59"/>
      <x:c r="BE92" s="59"/>
      <x:c r="BF92" s="59"/>
      <x:c r="BG92" s="59"/>
      <x:c r="BH92" s="59"/>
      <x:c r="BI92" s="59"/>
      <x:c r="BJ92" s="59"/>
      <x:c r="BK92" s="59"/>
      <x:c r="BL92" s="59"/>
      <x:c r="BM92" s="59"/>
      <x:c r="BN92" s="59"/>
      <x:c r="BO92" s="59"/>
      <x:c r="BP92" s="59"/>
      <x:c r="BQ92" s="59"/>
      <x:c r="BR92" s="59"/>
      <x:c r="BS92" s="59"/>
      <x:c r="BT92" s="59"/>
      <x:c r="BU92" s="59"/>
      <x:c r="BV92" s="59"/>
      <x:c r="BW92" s="59"/>
      <x:c r="BX92" s="59"/>
      <x:c r="BY92" s="59"/>
      <x:c r="BZ92" s="59"/>
      <x:c r="CA92" s="59"/>
      <x:c r="CB92" s="59"/>
      <x:c r="CC92" s="59"/>
      <x:c r="CD92" s="59"/>
      <x:c r="CE92" s="59"/>
      <x:c r="CF92" s="59"/>
      <x:c r="CG92" s="59"/>
      <x:c r="CH92" s="59"/>
      <x:c r="CI92" s="59"/>
      <x:c r="CJ92" s="59"/>
      <x:c r="CK92" s="59"/>
      <x:c r="CL92" s="59"/>
      <x:c r="CM92" s="59"/>
      <x:c r="CN92" s="59"/>
      <x:c r="CO92" s="59"/>
      <x:c r="CP92" s="59"/>
      <x:c r="CQ92" s="59"/>
      <x:c r="CR92" s="59"/>
      <x:c r="CS92" s="59"/>
      <x:c r="CT92" s="59"/>
      <x:c r="CU92" s="59"/>
      <x:c r="CV92" s="59"/>
      <x:c r="CW92" s="59"/>
      <x:c r="CX92" s="59"/>
      <x:c r="CY92" s="59"/>
      <x:c r="CZ92" s="59"/>
      <x:c r="DA92" s="59"/>
      <x:c r="DB92" s="59"/>
      <x:c r="DC92" s="59"/>
      <x:c r="DD92" s="59"/>
      <x:c r="DE92" s="59"/>
      <x:c r="DF92" s="59"/>
      <x:c r="DG92" s="59"/>
      <x:c r="DH92" s="59"/>
      <x:c r="DI92" s="59"/>
      <x:c r="DJ92" s="59"/>
      <x:c r="DK92" s="59"/>
      <x:c r="DL92" s="59"/>
      <x:c r="DM92" s="59"/>
      <x:c r="DN92" s="59"/>
      <x:c r="DO92" s="59"/>
      <x:c r="DP92" s="59"/>
      <x:c r="DQ92" s="59"/>
      <x:c r="DR92" s="59"/>
      <x:c r="DS92" s="59"/>
      <x:c r="DT92" s="59"/>
      <x:c r="DU92" s="59"/>
      <x:c r="DV92" s="59"/>
      <x:c r="DW92" s="59"/>
      <x:c r="DX92" s="59"/>
      <x:c r="DY92" s="59"/>
      <x:c r="DZ92" s="59"/>
      <x:c r="EA92" s="59"/>
      <x:c r="EB92" s="59"/>
      <x:c r="EC92" s="59"/>
      <x:c r="ED92" s="59"/>
      <x:c r="EE92" s="59"/>
      <x:c r="EF92" s="59"/>
      <x:c r="EG92" s="59"/>
      <x:c r="EH92" s="59"/>
      <x:c r="EI92" s="59"/>
      <x:c r="EJ92" s="59"/>
      <x:c r="EK92" s="59"/>
      <x:c r="EL92" s="59"/>
      <x:c r="EM92" s="59"/>
      <x:c r="EN92" s="59"/>
      <x:c r="EO92" s="59"/>
      <x:c r="EP92" s="59"/>
      <x:c r="EQ92" s="59"/>
      <x:c r="ER92" s="59"/>
      <x:c r="ES92" s="59"/>
      <x:c r="ET92" s="59"/>
      <x:c r="EU92" s="59"/>
      <x:c r="EV92" s="59"/>
      <x:c r="EW92" s="59"/>
      <x:c r="EX92" s="59"/>
      <x:c r="EY92" s="59"/>
      <x:c r="EZ92" s="59"/>
      <x:c r="FA92" s="59"/>
      <x:c r="FB92" s="59"/>
      <x:c r="FC92" s="59"/>
      <x:c r="FD92" s="59"/>
      <x:c r="FE92" s="59"/>
      <x:c r="FF92" s="59"/>
      <x:c r="FG92" s="59"/>
      <x:c r="FH92" s="59"/>
      <x:c r="FI92" s="59"/>
      <x:c r="FJ92" s="59"/>
      <x:c r="FK92" s="59"/>
      <x:c r="FL92" s="59"/>
      <x:c r="FM92" s="59"/>
      <x:c r="FN92" s="59"/>
      <x:c r="FO92" s="59"/>
      <x:c r="FP92" s="59"/>
      <x:c r="FQ92" s="59"/>
      <x:c r="FR92" s="59"/>
      <x:c r="FS92" s="59"/>
      <x:c r="FT92" s="59"/>
      <x:c r="FU92" s="59"/>
      <x:c r="FV92" s="59"/>
      <x:c r="FW92" s="59"/>
      <x:c r="FX92" s="59"/>
      <x:c r="FY92" s="59"/>
      <x:c r="FZ92" s="59"/>
      <x:c r="GA92" s="59"/>
      <x:c r="GB92" s="59"/>
      <x:c r="GC92" s="59"/>
      <x:c r="GD92" s="59"/>
      <x:c r="GE92" s="59"/>
      <x:c r="GF92" s="59"/>
      <x:c r="GG92" s="59"/>
      <x:c r="GH92" s="59"/>
      <x:c r="GI92" s="59"/>
      <x:c r="GJ92" s="59"/>
      <x:c r="GK92" s="59"/>
      <x:c r="GL92" s="59"/>
      <x:c r="GM92" s="59"/>
      <x:c r="GN92" s="59"/>
      <x:c r="GO92" s="59"/>
      <x:c r="GP92" s="59"/>
      <x:c r="GQ92" s="59"/>
      <x:c r="GR92" s="59"/>
      <x:c r="GS92" s="59"/>
      <x:c r="GT92" s="59"/>
      <x:c r="GU92" s="59"/>
      <x:c r="GV92" s="59"/>
      <x:c r="GW92" s="59"/>
      <x:c r="GX92" s="59"/>
      <x:c r="GY92" s="59"/>
      <x:c r="GZ92" s="59"/>
      <x:c r="HA92" s="59"/>
      <x:c r="HB92" s="59"/>
      <x:c r="HC92" s="59"/>
      <x:c r="HD92" s="59"/>
      <x:c r="HE92" s="59"/>
      <x:c r="HF92" s="59"/>
      <x:c r="HG92" s="59"/>
      <x:c r="HH92" s="59"/>
      <x:c r="HI92" s="59"/>
      <x:c r="HJ92" s="59"/>
      <x:c r="HK92" s="59"/>
      <x:c r="HL92" s="59"/>
      <x:c r="HM92" s="59"/>
      <x:c r="HN92" s="59"/>
      <x:c r="HO92" s="59"/>
      <x:c r="HP92" s="59"/>
      <x:c r="HQ92" s="59"/>
      <x:c r="HR92" s="59"/>
      <x:c r="HS92" s="59"/>
      <x:c r="HT92" s="59"/>
      <x:c r="HU92" s="59"/>
      <x:c r="HV92" s="59"/>
      <x:c r="HW92" s="59"/>
      <x:c r="HX92" s="59"/>
      <x:c r="HY92" s="59"/>
      <x:c r="HZ92" s="59"/>
      <x:c r="IA92" s="59"/>
      <x:c r="IB92" s="59"/>
      <x:c r="IC92" s="59"/>
      <x:c r="ID92" s="59"/>
      <x:c r="IE92" s="59"/>
      <x:c r="IF92" s="59"/>
      <x:c r="IG92" s="59"/>
      <x:c r="IH92" s="59"/>
      <x:c r="II92" s="59"/>
      <x:c r="IJ92" s="59"/>
      <x:c r="IK92" s="59"/>
      <x:c r="IL92" s="59"/>
      <x:c r="IM92" s="59"/>
      <x:c r="IN92" s="59"/>
      <x:c r="IO92" s="59"/>
      <x:c r="IP92" s="59"/>
      <x:c r="IQ92" s="59"/>
      <x:c r="IR92" s="59"/>
      <x:c r="IS92" s="59"/>
      <x:c r="IT92" s="59"/>
      <x:c r="IU92" s="59"/>
      <x:c r="IV92" s="59"/>
      <x:c r="IW92" s="59"/>
      <x:c r="IX92" s="59"/>
      <x:c r="IY92" s="59"/>
      <x:c r="IZ92" s="59"/>
      <x:c r="JA92" s="59"/>
      <x:c r="JB92" s="59"/>
      <x:c r="JC92" s="59"/>
      <x:c r="JD92" s="59"/>
      <x:c r="JE92" s="59"/>
      <x:c r="JF92" s="59"/>
      <x:c r="JG92" s="59"/>
      <x:c r="JH92" s="59"/>
      <x:c r="JI92" s="59"/>
      <x:c r="JJ92" s="59"/>
      <x:c r="JK92" s="59"/>
      <x:c r="JL92" s="59"/>
      <x:c r="JM92" s="59"/>
      <x:c r="JN92" s="59"/>
      <x:c r="JO92" s="59"/>
      <x:c r="JP92" s="59"/>
      <x:c r="JQ92" s="59"/>
      <x:c r="JR92" s="59"/>
      <x:c r="JS92" s="59"/>
      <x:c r="JT92" s="59"/>
      <x:c r="JU92" s="59"/>
      <x:c r="JV92" s="59"/>
      <x:c r="JW92" s="59"/>
      <x:c r="JX92" s="59"/>
      <x:c r="JY92" s="59"/>
      <x:c r="JZ92" s="59"/>
      <x:c r="KA92" s="59"/>
      <x:c r="KB92" s="59"/>
      <x:c r="KC92" s="59"/>
      <x:c r="KD92" s="59"/>
      <x:c r="KE92" s="59"/>
      <x:c r="KF92" s="59"/>
      <x:c r="KG92" s="59"/>
      <x:c r="KH92" s="59"/>
      <x:c r="KI92" s="59"/>
      <x:c r="KJ92" s="59"/>
      <x:c r="KK92" s="59"/>
      <x:c r="KL92" s="59"/>
      <x:c r="KM92" s="59"/>
      <x:c r="KN92" s="59"/>
      <x:c r="KO92" s="59"/>
      <x:c r="KP92" s="59"/>
      <x:c r="KQ92" s="59"/>
      <x:c r="KR92" s="59"/>
      <x:c r="KS92" s="59"/>
      <x:c r="KT92" s="59"/>
      <x:c r="KU92" s="59"/>
      <x:c r="KV92" s="59"/>
      <x:c r="KW92" s="59"/>
      <x:c r="KX92" s="59"/>
      <x:c r="KY92" s="59"/>
      <x:c r="KZ92" s="59"/>
      <x:c r="LA92" s="59"/>
      <x:c r="LB92" s="59"/>
      <x:c r="LC92" s="59"/>
      <x:c r="LD92" s="59"/>
      <x:c r="LE92" s="59"/>
      <x:c r="LF92" s="59"/>
      <x:c r="LG92" s="59"/>
      <x:c r="LH92" s="59"/>
      <x:c r="LI92" s="59"/>
      <x:c r="LJ92" s="59"/>
      <x:c r="LK92" s="59"/>
      <x:c r="LL92" s="59"/>
      <x:c r="LM92" s="59"/>
      <x:c r="LN92" s="59"/>
      <x:c r="LO92" s="59"/>
      <x:c r="LP92" s="59"/>
      <x:c r="LQ92" s="59"/>
      <x:c r="LR92" s="59"/>
      <x:c r="LS92" s="59"/>
      <x:c r="LT92" s="59"/>
      <x:c r="LU92" s="59"/>
      <x:c r="LV92" s="59"/>
      <x:c r="LW92" s="59"/>
      <x:c r="LX92" s="59"/>
      <x:c r="LY92" s="59"/>
      <x:c r="LZ92" s="59"/>
      <x:c r="MA92" s="59"/>
      <x:c r="MB92" s="59"/>
      <x:c r="MC92" s="59"/>
      <x:c r="MD92" s="59"/>
      <x:c r="ME92" s="59"/>
      <x:c r="MF92" s="59"/>
      <x:c r="MG92" s="59"/>
      <x:c r="MH92" s="59"/>
      <x:c r="MI92" s="59"/>
      <x:c r="MJ92" s="59"/>
      <x:c r="MK92" s="59"/>
      <x:c r="ML92" s="59"/>
      <x:c r="MM92" s="59"/>
      <x:c r="MN92" s="59"/>
      <x:c r="MO92" s="59"/>
      <x:c r="MP92" s="59"/>
      <x:c r="MQ92" s="59"/>
      <x:c r="MR92" s="59"/>
      <x:c r="MS92" s="59"/>
      <x:c r="MT92" s="59"/>
      <x:c r="MU92" s="59"/>
      <x:c r="MV92" s="59"/>
      <x:c r="MW92" s="59"/>
      <x:c r="MX92" s="59"/>
      <x:c r="MY92" s="59"/>
      <x:c r="MZ92" s="59"/>
      <x:c r="NA92" s="59"/>
      <x:c r="NB92" s="59"/>
      <x:c r="NC92" s="59"/>
      <x:c r="ND92" s="59"/>
      <x:c r="NE92" s="59"/>
      <x:c r="NF92" s="59"/>
      <x:c r="NG92" s="59"/>
      <x:c r="NH92" s="59"/>
      <x:c r="NI92" s="59"/>
      <x:c r="NJ92" s="59"/>
      <x:c r="NK92" s="59"/>
      <x:c r="NL92" s="59"/>
      <x:c r="NM92" s="59"/>
      <x:c r="NN92" s="59"/>
      <x:c r="NO92" s="59"/>
      <x:c r="NP92" s="59"/>
      <x:c r="NQ92" s="59"/>
      <x:c r="NR92" s="59"/>
      <x:c r="NS92" s="59"/>
      <x:c r="NT92" s="59"/>
      <x:c r="NU92" s="59"/>
      <x:c r="NV92" s="59"/>
      <x:c r="NW92" s="59"/>
      <x:c r="NX92" s="59"/>
      <x:c r="NY92" s="59"/>
      <x:c r="NZ92" s="59"/>
      <x:c r="OA92" s="59"/>
      <x:c r="OB92" s="59"/>
      <x:c r="OC92" s="59"/>
      <x:c r="OD92" s="59"/>
      <x:c r="OE92" s="59"/>
      <x:c r="OF92" s="59"/>
      <x:c r="OG92" s="59"/>
      <x:c r="OH92" s="59"/>
      <x:c r="OI92" s="59"/>
      <x:c r="OJ92" s="59"/>
      <x:c r="OK92" s="59"/>
      <x:c r="OL92" s="59"/>
      <x:c r="OM92" s="59"/>
      <x:c r="ON92" s="59"/>
      <x:c r="OO92" s="59"/>
      <x:c r="OP92" s="59"/>
      <x:c r="OQ92" s="59"/>
      <x:c r="OR92" s="59"/>
      <x:c r="OS92" s="59"/>
      <x:c r="OT92" s="59"/>
      <x:c r="OU92" s="59"/>
      <x:c r="OV92" s="59"/>
      <x:c r="OW92" s="59"/>
      <x:c r="OX92" s="59"/>
      <x:c r="OY92" s="59"/>
      <x:c r="OZ92" s="59"/>
      <x:c r="PA92" s="59"/>
      <x:c r="PB92" s="59"/>
      <x:c r="PC92" s="59"/>
      <x:c r="PD92" s="59"/>
      <x:c r="PE92" s="59"/>
      <x:c r="PF92" s="59"/>
      <x:c r="PG92" s="59"/>
      <x:c r="PH92" s="59"/>
      <x:c r="PI92" s="59"/>
      <x:c r="PJ92" s="59"/>
      <x:c r="PK92" s="59"/>
      <x:c r="PL92" s="59"/>
      <x:c r="PM92" s="59"/>
      <x:c r="PN92" s="59"/>
      <x:c r="PO92" s="59"/>
      <x:c r="PP92" s="59"/>
      <x:c r="PQ92" s="59"/>
      <x:c r="PR92" s="59"/>
      <x:c r="PS92" s="59"/>
      <x:c r="PT92" s="59"/>
      <x:c r="PU92" s="59"/>
      <x:c r="PV92" s="59"/>
      <x:c r="PW92" s="59"/>
      <x:c r="PX92" s="59"/>
      <x:c r="PY92" s="59"/>
      <x:c r="PZ92" s="59"/>
      <x:c r="QA92" s="59"/>
      <x:c r="QB92" s="59"/>
      <x:c r="QC92" s="59"/>
      <x:c r="QD92" s="59"/>
      <x:c r="QE92" s="59"/>
      <x:c r="QF92" s="59"/>
      <x:c r="QG92" s="59"/>
      <x:c r="QH92" s="59"/>
      <x:c r="QI92" s="59"/>
      <x:c r="QJ92" s="59"/>
      <x:c r="QK92" s="59"/>
      <x:c r="QL92" s="59"/>
      <x:c r="QM92" s="59"/>
      <x:c r="QN92" s="59"/>
      <x:c r="QO92" s="59"/>
      <x:c r="QP92" s="59"/>
      <x:c r="QQ92" s="59"/>
      <x:c r="QR92" s="59"/>
      <x:c r="QS92" s="59"/>
      <x:c r="QT92" s="59"/>
      <x:c r="QU92" s="59"/>
      <x:c r="QV92" s="59"/>
      <x:c r="QW92" s="59"/>
      <x:c r="QX92" s="59"/>
      <x:c r="QY92" s="59"/>
      <x:c r="QZ92" s="59"/>
      <x:c r="RA92" s="59"/>
      <x:c r="RB92" s="59"/>
      <x:c r="RC92" s="59"/>
      <x:c r="RD92" s="59"/>
      <x:c r="RE92" s="59"/>
      <x:c r="RF92" s="59"/>
      <x:c r="RG92" s="59"/>
      <x:c r="RH92" s="59"/>
      <x:c r="RI92" s="59"/>
      <x:c r="RJ92" s="59"/>
      <x:c r="RK92" s="59"/>
      <x:c r="RL92" s="59"/>
      <x:c r="RM92" s="59"/>
      <x:c r="RN92" s="59"/>
      <x:c r="RO92" s="59"/>
      <x:c r="RP92" s="59"/>
      <x:c r="RQ92" s="59"/>
      <x:c r="RR92" s="59"/>
      <x:c r="RS92" s="59"/>
      <x:c r="RT92" s="59"/>
      <x:c r="RU92" s="59"/>
      <x:c r="RV92" s="59"/>
      <x:c r="RW92" s="59"/>
      <x:c r="RX92" s="59"/>
      <x:c r="RY92" s="59"/>
      <x:c r="RZ92" s="59"/>
      <x:c r="SA92" s="59"/>
      <x:c r="SB92" s="59"/>
      <x:c r="SC92" s="59"/>
      <x:c r="SD92" s="59"/>
      <x:c r="SE92" s="59"/>
      <x:c r="SF92" s="59"/>
    </x:row>
    <x:row r="93" ht="40.5">
      <x:c r="A93" s="73" t="s">
        <x:v>163</x:v>
      </x:c>
      <x:c r="B93" s="63" t="s">
        <x:v>164</x:v>
      </x:c>
      <x:c r="C93" s="63"/>
      <x:c r="D93" s="63"/>
      <x:c r="E93" s="63"/>
      <x:c r="F93" s="63"/>
      <x:c r="G93" s="63"/>
      <x:c r="H93" s="63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  <x:c r="AA93" s="59"/>
      <x:c r="AB93" s="59"/>
      <x:c r="AC93" s="59"/>
      <x:c r="AD93" s="59"/>
      <x:c r="AE93" s="59"/>
      <x:c r="AF93" s="59"/>
      <x:c r="AG93" s="59"/>
      <x:c r="AH93" s="59"/>
      <x:c r="AI93" s="59"/>
      <x:c r="AJ93" s="59"/>
      <x:c r="AK93" s="59"/>
      <x:c r="AL93" s="59"/>
      <x:c r="AM93" s="59"/>
      <x:c r="AN93" s="59"/>
      <x:c r="AO93" s="59"/>
      <x:c r="AP93" s="59"/>
      <x:c r="AQ93" s="59"/>
      <x:c r="AR93" s="59"/>
      <x:c r="AS93" s="59"/>
      <x:c r="AT93" s="59"/>
      <x:c r="AU93" s="59"/>
      <x:c r="AV93" s="59"/>
      <x:c r="AW93" s="59"/>
      <x:c r="AX93" s="59"/>
      <x:c r="AY93" s="59"/>
      <x:c r="AZ93" s="59"/>
      <x:c r="BA93" s="59"/>
      <x:c r="BB93" s="59"/>
      <x:c r="BC93" s="59"/>
      <x:c r="BD93" s="59"/>
      <x:c r="BE93" s="59"/>
      <x:c r="BF93" s="59"/>
      <x:c r="BG93" s="59"/>
      <x:c r="BH93" s="59"/>
      <x:c r="BI93" s="59"/>
      <x:c r="BJ93" s="59"/>
      <x:c r="BK93" s="59"/>
      <x:c r="BL93" s="59"/>
      <x:c r="BM93" s="59"/>
      <x:c r="BN93" s="59"/>
      <x:c r="BO93" s="59"/>
      <x:c r="BP93" s="59"/>
      <x:c r="BQ93" s="59"/>
      <x:c r="BR93" s="59"/>
      <x:c r="BS93" s="59"/>
      <x:c r="BT93" s="59"/>
      <x:c r="BU93" s="59"/>
      <x:c r="BV93" s="59"/>
      <x:c r="BW93" s="59"/>
      <x:c r="BX93" s="59"/>
      <x:c r="BY93" s="59"/>
      <x:c r="BZ93" s="59"/>
      <x:c r="CA93" s="59"/>
      <x:c r="CB93" s="59"/>
      <x:c r="CC93" s="59"/>
      <x:c r="CD93" s="59"/>
      <x:c r="CE93" s="59"/>
      <x:c r="CF93" s="59"/>
      <x:c r="CG93" s="59"/>
      <x:c r="CH93" s="59"/>
      <x:c r="CI93" s="59"/>
      <x:c r="CJ93" s="59"/>
      <x:c r="CK93" s="59"/>
      <x:c r="CL93" s="59"/>
      <x:c r="CM93" s="59"/>
      <x:c r="CN93" s="59"/>
      <x:c r="CO93" s="59"/>
      <x:c r="CP93" s="59"/>
      <x:c r="CQ93" s="59"/>
      <x:c r="CR93" s="59"/>
      <x:c r="CS93" s="59"/>
      <x:c r="CT93" s="59"/>
      <x:c r="CU93" s="59"/>
      <x:c r="CV93" s="59"/>
      <x:c r="CW93" s="59"/>
      <x:c r="CX93" s="59"/>
      <x:c r="CY93" s="59"/>
      <x:c r="CZ93" s="59"/>
      <x:c r="DA93" s="59"/>
      <x:c r="DB93" s="59"/>
      <x:c r="DC93" s="59"/>
      <x:c r="DD93" s="59"/>
      <x:c r="DE93" s="59"/>
      <x:c r="DF93" s="59"/>
      <x:c r="DG93" s="59"/>
      <x:c r="DH93" s="59"/>
      <x:c r="DI93" s="59"/>
      <x:c r="DJ93" s="59"/>
      <x:c r="DK93" s="59"/>
      <x:c r="DL93" s="59"/>
      <x:c r="DM93" s="59"/>
      <x:c r="DN93" s="59"/>
      <x:c r="DO93" s="59"/>
      <x:c r="DP93" s="59"/>
      <x:c r="DQ93" s="59"/>
      <x:c r="DR93" s="59"/>
      <x:c r="DS93" s="59"/>
      <x:c r="DT93" s="59"/>
      <x:c r="DU93" s="59"/>
      <x:c r="DV93" s="59"/>
      <x:c r="DW93" s="59"/>
      <x:c r="DX93" s="59"/>
      <x:c r="DY93" s="59"/>
      <x:c r="DZ93" s="59"/>
      <x:c r="EA93" s="59"/>
      <x:c r="EB93" s="59"/>
      <x:c r="EC93" s="59"/>
      <x:c r="ED93" s="59"/>
      <x:c r="EE93" s="59"/>
      <x:c r="EF93" s="59"/>
      <x:c r="EG93" s="59"/>
      <x:c r="EH93" s="59"/>
      <x:c r="EI93" s="59"/>
      <x:c r="EJ93" s="59"/>
      <x:c r="EK93" s="59"/>
      <x:c r="EL93" s="59"/>
      <x:c r="EM93" s="59"/>
      <x:c r="EN93" s="59"/>
      <x:c r="EO93" s="59"/>
      <x:c r="EP93" s="59"/>
      <x:c r="EQ93" s="59"/>
      <x:c r="ER93" s="59"/>
      <x:c r="ES93" s="59"/>
      <x:c r="ET93" s="59"/>
      <x:c r="EU93" s="59"/>
      <x:c r="EV93" s="59"/>
      <x:c r="EW93" s="59"/>
      <x:c r="EX93" s="59"/>
      <x:c r="EY93" s="59"/>
      <x:c r="EZ93" s="59"/>
      <x:c r="FA93" s="59"/>
      <x:c r="FB93" s="59"/>
      <x:c r="FC93" s="59"/>
      <x:c r="FD93" s="59"/>
      <x:c r="FE93" s="59"/>
      <x:c r="FF93" s="59"/>
      <x:c r="FG93" s="59"/>
      <x:c r="FH93" s="59"/>
      <x:c r="FI93" s="59"/>
      <x:c r="FJ93" s="59"/>
      <x:c r="FK93" s="59"/>
      <x:c r="FL93" s="59"/>
      <x:c r="FM93" s="59"/>
      <x:c r="FN93" s="59"/>
      <x:c r="FO93" s="59"/>
      <x:c r="FP93" s="59"/>
      <x:c r="FQ93" s="59"/>
      <x:c r="FR93" s="59"/>
      <x:c r="FS93" s="59"/>
      <x:c r="FT93" s="59"/>
      <x:c r="FU93" s="59"/>
      <x:c r="FV93" s="59"/>
      <x:c r="FW93" s="59"/>
      <x:c r="FX93" s="59"/>
      <x:c r="FY93" s="59"/>
      <x:c r="FZ93" s="59"/>
      <x:c r="GA93" s="59"/>
      <x:c r="GB93" s="59"/>
      <x:c r="GC93" s="59"/>
      <x:c r="GD93" s="59"/>
      <x:c r="GE93" s="59"/>
      <x:c r="GF93" s="59"/>
      <x:c r="GG93" s="59"/>
      <x:c r="GH93" s="59"/>
      <x:c r="GI93" s="59"/>
      <x:c r="GJ93" s="59"/>
      <x:c r="GK93" s="59"/>
      <x:c r="GL93" s="59"/>
      <x:c r="GM93" s="59"/>
      <x:c r="GN93" s="59"/>
      <x:c r="GO93" s="59"/>
      <x:c r="GP93" s="59"/>
      <x:c r="GQ93" s="59"/>
      <x:c r="GR93" s="59"/>
      <x:c r="GS93" s="59"/>
      <x:c r="GT93" s="59"/>
      <x:c r="GU93" s="59"/>
      <x:c r="GV93" s="59"/>
      <x:c r="GW93" s="59"/>
      <x:c r="GX93" s="59"/>
      <x:c r="GY93" s="59"/>
      <x:c r="GZ93" s="59"/>
      <x:c r="HA93" s="59"/>
      <x:c r="HB93" s="59"/>
      <x:c r="HC93" s="59"/>
      <x:c r="HD93" s="59"/>
      <x:c r="HE93" s="59"/>
      <x:c r="HF93" s="59"/>
      <x:c r="HG93" s="59"/>
      <x:c r="HH93" s="59"/>
      <x:c r="HI93" s="59"/>
      <x:c r="HJ93" s="59"/>
      <x:c r="HK93" s="59"/>
      <x:c r="HL93" s="59"/>
      <x:c r="HM93" s="59"/>
      <x:c r="HN93" s="59"/>
      <x:c r="HO93" s="59"/>
      <x:c r="HP93" s="59"/>
      <x:c r="HQ93" s="59"/>
      <x:c r="HR93" s="59"/>
      <x:c r="HS93" s="59"/>
      <x:c r="HT93" s="59"/>
      <x:c r="HU93" s="59"/>
      <x:c r="HV93" s="59"/>
      <x:c r="HW93" s="59"/>
      <x:c r="HX93" s="59"/>
      <x:c r="HY93" s="59"/>
      <x:c r="HZ93" s="59"/>
      <x:c r="IA93" s="59"/>
      <x:c r="IB93" s="59"/>
      <x:c r="IC93" s="59"/>
      <x:c r="ID93" s="59"/>
      <x:c r="IE93" s="59"/>
      <x:c r="IF93" s="59"/>
      <x:c r="IG93" s="59"/>
      <x:c r="IH93" s="59"/>
      <x:c r="II93" s="59"/>
      <x:c r="IJ93" s="59"/>
      <x:c r="IK93" s="59"/>
      <x:c r="IL93" s="59"/>
      <x:c r="IM93" s="59"/>
      <x:c r="IN93" s="59"/>
      <x:c r="IO93" s="59"/>
      <x:c r="IP93" s="59"/>
      <x:c r="IQ93" s="59"/>
      <x:c r="IR93" s="59"/>
      <x:c r="IS93" s="59"/>
      <x:c r="IT93" s="59"/>
      <x:c r="IU93" s="59"/>
      <x:c r="IV93" s="59"/>
      <x:c r="IW93" s="59"/>
      <x:c r="IX93" s="59"/>
      <x:c r="IY93" s="59"/>
      <x:c r="IZ93" s="59"/>
      <x:c r="JA93" s="59"/>
      <x:c r="JB93" s="59"/>
      <x:c r="JC93" s="59"/>
      <x:c r="JD93" s="59"/>
      <x:c r="JE93" s="59"/>
      <x:c r="JF93" s="59"/>
      <x:c r="JG93" s="59"/>
      <x:c r="JH93" s="59"/>
      <x:c r="JI93" s="59"/>
      <x:c r="JJ93" s="59"/>
      <x:c r="JK93" s="59"/>
      <x:c r="JL93" s="59"/>
      <x:c r="JM93" s="59"/>
      <x:c r="JN93" s="59"/>
      <x:c r="JO93" s="59"/>
      <x:c r="JP93" s="59"/>
      <x:c r="JQ93" s="59"/>
      <x:c r="JR93" s="59"/>
      <x:c r="JS93" s="59"/>
      <x:c r="JT93" s="59"/>
      <x:c r="JU93" s="59"/>
      <x:c r="JV93" s="59"/>
      <x:c r="JW93" s="59"/>
      <x:c r="JX93" s="59"/>
      <x:c r="JY93" s="59"/>
      <x:c r="JZ93" s="59"/>
      <x:c r="KA93" s="59"/>
      <x:c r="KB93" s="59"/>
      <x:c r="KC93" s="59"/>
      <x:c r="KD93" s="59"/>
      <x:c r="KE93" s="59"/>
      <x:c r="KF93" s="59"/>
      <x:c r="KG93" s="59"/>
      <x:c r="KH93" s="59"/>
      <x:c r="KI93" s="59"/>
      <x:c r="KJ93" s="59"/>
      <x:c r="KK93" s="59"/>
      <x:c r="KL93" s="59"/>
      <x:c r="KM93" s="59"/>
      <x:c r="KN93" s="59"/>
      <x:c r="KO93" s="59"/>
      <x:c r="KP93" s="59"/>
      <x:c r="KQ93" s="59"/>
      <x:c r="KR93" s="59"/>
      <x:c r="KS93" s="59"/>
      <x:c r="KT93" s="59"/>
      <x:c r="KU93" s="59"/>
      <x:c r="KV93" s="59"/>
      <x:c r="KW93" s="59"/>
      <x:c r="KX93" s="59"/>
      <x:c r="KY93" s="59"/>
      <x:c r="KZ93" s="59"/>
      <x:c r="LA93" s="59"/>
      <x:c r="LB93" s="59"/>
      <x:c r="LC93" s="59"/>
      <x:c r="LD93" s="59"/>
      <x:c r="LE93" s="59"/>
      <x:c r="LF93" s="59"/>
      <x:c r="LG93" s="59"/>
      <x:c r="LH93" s="59"/>
      <x:c r="LI93" s="59"/>
      <x:c r="LJ93" s="59"/>
      <x:c r="LK93" s="59"/>
      <x:c r="LL93" s="59"/>
      <x:c r="LM93" s="59"/>
      <x:c r="LN93" s="59"/>
      <x:c r="LO93" s="59"/>
      <x:c r="LP93" s="59"/>
      <x:c r="LQ93" s="59"/>
      <x:c r="LR93" s="59"/>
      <x:c r="LS93" s="59"/>
      <x:c r="LT93" s="59"/>
      <x:c r="LU93" s="59"/>
      <x:c r="LV93" s="59"/>
      <x:c r="LW93" s="59"/>
      <x:c r="LX93" s="59"/>
      <x:c r="LY93" s="59"/>
      <x:c r="LZ93" s="59"/>
      <x:c r="MA93" s="59"/>
      <x:c r="MB93" s="59"/>
      <x:c r="MC93" s="59"/>
      <x:c r="MD93" s="59"/>
      <x:c r="ME93" s="59"/>
      <x:c r="MF93" s="59"/>
      <x:c r="MG93" s="59"/>
      <x:c r="MH93" s="59"/>
      <x:c r="MI93" s="59"/>
      <x:c r="MJ93" s="59"/>
      <x:c r="MK93" s="59"/>
      <x:c r="ML93" s="59"/>
      <x:c r="MM93" s="59"/>
      <x:c r="MN93" s="59"/>
      <x:c r="MO93" s="59"/>
      <x:c r="MP93" s="59"/>
      <x:c r="MQ93" s="59"/>
      <x:c r="MR93" s="59"/>
      <x:c r="MS93" s="59"/>
      <x:c r="MT93" s="59"/>
      <x:c r="MU93" s="59"/>
      <x:c r="MV93" s="59"/>
      <x:c r="MW93" s="59"/>
      <x:c r="MX93" s="59"/>
      <x:c r="MY93" s="59"/>
      <x:c r="MZ93" s="59"/>
      <x:c r="NA93" s="59"/>
      <x:c r="NB93" s="59"/>
      <x:c r="NC93" s="59"/>
      <x:c r="ND93" s="59"/>
      <x:c r="NE93" s="59"/>
      <x:c r="NF93" s="59"/>
      <x:c r="NG93" s="59"/>
      <x:c r="NH93" s="59"/>
      <x:c r="NI93" s="59"/>
      <x:c r="NJ93" s="59"/>
      <x:c r="NK93" s="59"/>
      <x:c r="NL93" s="59"/>
      <x:c r="NM93" s="59"/>
      <x:c r="NN93" s="59"/>
      <x:c r="NO93" s="59"/>
      <x:c r="NP93" s="59"/>
      <x:c r="NQ93" s="59"/>
      <x:c r="NR93" s="59"/>
      <x:c r="NS93" s="59"/>
      <x:c r="NT93" s="59"/>
      <x:c r="NU93" s="59"/>
      <x:c r="NV93" s="59"/>
      <x:c r="NW93" s="59"/>
      <x:c r="NX93" s="59"/>
      <x:c r="NY93" s="59"/>
      <x:c r="NZ93" s="59"/>
      <x:c r="OA93" s="59"/>
      <x:c r="OB93" s="59"/>
      <x:c r="OC93" s="59"/>
      <x:c r="OD93" s="59"/>
      <x:c r="OE93" s="59"/>
      <x:c r="OF93" s="59"/>
      <x:c r="OG93" s="59"/>
      <x:c r="OH93" s="59"/>
      <x:c r="OI93" s="59"/>
      <x:c r="OJ93" s="59"/>
      <x:c r="OK93" s="59"/>
      <x:c r="OL93" s="59"/>
      <x:c r="OM93" s="59"/>
      <x:c r="ON93" s="59"/>
      <x:c r="OO93" s="59"/>
      <x:c r="OP93" s="59"/>
      <x:c r="OQ93" s="59"/>
      <x:c r="OR93" s="59"/>
      <x:c r="OS93" s="59"/>
      <x:c r="OT93" s="59"/>
      <x:c r="OU93" s="59"/>
      <x:c r="OV93" s="59"/>
      <x:c r="OW93" s="59"/>
      <x:c r="OX93" s="59"/>
      <x:c r="OY93" s="59"/>
      <x:c r="OZ93" s="59"/>
      <x:c r="PA93" s="59"/>
      <x:c r="PB93" s="59"/>
      <x:c r="PC93" s="59"/>
      <x:c r="PD93" s="59"/>
      <x:c r="PE93" s="59"/>
      <x:c r="PF93" s="59"/>
      <x:c r="PG93" s="59"/>
      <x:c r="PH93" s="59"/>
      <x:c r="PI93" s="59"/>
      <x:c r="PJ93" s="59"/>
      <x:c r="PK93" s="59"/>
      <x:c r="PL93" s="59"/>
      <x:c r="PM93" s="59"/>
      <x:c r="PN93" s="59"/>
      <x:c r="PO93" s="59"/>
      <x:c r="PP93" s="59"/>
      <x:c r="PQ93" s="59"/>
      <x:c r="PR93" s="59"/>
      <x:c r="PS93" s="59"/>
      <x:c r="PT93" s="59"/>
      <x:c r="PU93" s="59"/>
      <x:c r="PV93" s="59"/>
      <x:c r="PW93" s="59"/>
      <x:c r="PX93" s="59"/>
      <x:c r="PY93" s="59"/>
      <x:c r="PZ93" s="59"/>
      <x:c r="QA93" s="59"/>
      <x:c r="QB93" s="59"/>
      <x:c r="QC93" s="59"/>
      <x:c r="QD93" s="59"/>
      <x:c r="QE93" s="59"/>
      <x:c r="QF93" s="59"/>
      <x:c r="QG93" s="59"/>
      <x:c r="QH93" s="59"/>
      <x:c r="QI93" s="59"/>
      <x:c r="QJ93" s="59"/>
      <x:c r="QK93" s="59"/>
      <x:c r="QL93" s="59"/>
      <x:c r="QM93" s="59"/>
      <x:c r="QN93" s="59"/>
      <x:c r="QO93" s="59"/>
      <x:c r="QP93" s="59"/>
      <x:c r="QQ93" s="59"/>
      <x:c r="QR93" s="59"/>
      <x:c r="QS93" s="59"/>
      <x:c r="QT93" s="59"/>
      <x:c r="QU93" s="59"/>
      <x:c r="QV93" s="59"/>
      <x:c r="QW93" s="59"/>
      <x:c r="QX93" s="59"/>
      <x:c r="QY93" s="59"/>
      <x:c r="QZ93" s="59"/>
      <x:c r="RA93" s="59"/>
      <x:c r="RB93" s="59"/>
      <x:c r="RC93" s="59"/>
      <x:c r="RD93" s="59"/>
      <x:c r="RE93" s="59"/>
      <x:c r="RF93" s="59"/>
      <x:c r="RG93" s="59"/>
      <x:c r="RH93" s="59"/>
      <x:c r="RI93" s="59"/>
      <x:c r="RJ93" s="59"/>
      <x:c r="RK93" s="59"/>
      <x:c r="RL93" s="59"/>
      <x:c r="RM93" s="59"/>
      <x:c r="RN93" s="59"/>
      <x:c r="RO93" s="59"/>
      <x:c r="RP93" s="59"/>
      <x:c r="RQ93" s="59"/>
      <x:c r="RR93" s="59"/>
      <x:c r="RS93" s="59"/>
      <x:c r="RT93" s="59"/>
      <x:c r="RU93" s="59"/>
      <x:c r="RV93" s="59"/>
      <x:c r="RW93" s="59"/>
      <x:c r="RX93" s="59"/>
      <x:c r="RY93" s="59"/>
      <x:c r="RZ93" s="59"/>
      <x:c r="SA93" s="59"/>
      <x:c r="SB93" s="59"/>
      <x:c r="SC93" s="59"/>
      <x:c r="SD93" s="59"/>
      <x:c r="SE93" s="59"/>
      <x:c r="SF93" s="59"/>
    </x:row>
    <x:row r="94" ht="40.5">
      <x:c r="A94" s="73" t="s">
        <x:v>165</x:v>
      </x:c>
      <x:c r="B94" s="63" t="s">
        <x:v>166</x:v>
      </x:c>
      <x:c r="C94" s="63"/>
      <x:c r="D94" s="63"/>
      <x:c r="E94" s="63"/>
      <x:c r="F94" s="63"/>
      <x:c r="G94" s="63"/>
      <x:c r="H94" s="63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  <x:c r="AA94" s="59"/>
      <x:c r="AB94" s="59"/>
      <x:c r="AC94" s="59"/>
      <x:c r="AD94" s="59"/>
      <x:c r="AE94" s="59"/>
      <x:c r="AF94" s="59"/>
      <x:c r="AG94" s="59"/>
      <x:c r="AH94" s="59"/>
      <x:c r="AI94" s="59"/>
      <x:c r="AJ94" s="59"/>
      <x:c r="AK94" s="59"/>
      <x:c r="AL94" s="59"/>
      <x:c r="AM94" s="59"/>
      <x:c r="AN94" s="59"/>
      <x:c r="AO94" s="59"/>
      <x:c r="AP94" s="59"/>
      <x:c r="AQ94" s="59"/>
      <x:c r="AR94" s="59"/>
      <x:c r="AS94" s="59"/>
      <x:c r="AT94" s="59"/>
      <x:c r="AU94" s="59"/>
      <x:c r="AV94" s="59"/>
      <x:c r="AW94" s="59"/>
      <x:c r="AX94" s="59"/>
      <x:c r="AY94" s="59"/>
      <x:c r="AZ94" s="59"/>
      <x:c r="BA94" s="59"/>
      <x:c r="BB94" s="59"/>
      <x:c r="BC94" s="59"/>
      <x:c r="BD94" s="59"/>
      <x:c r="BE94" s="59"/>
      <x:c r="BF94" s="59"/>
      <x:c r="BG94" s="59"/>
      <x:c r="BH94" s="59"/>
      <x:c r="BI94" s="59"/>
      <x:c r="BJ94" s="59"/>
      <x:c r="BK94" s="59"/>
      <x:c r="BL94" s="59"/>
      <x:c r="BM94" s="59"/>
      <x:c r="BN94" s="59"/>
      <x:c r="BO94" s="59"/>
      <x:c r="BP94" s="59"/>
      <x:c r="BQ94" s="59"/>
      <x:c r="BR94" s="59"/>
      <x:c r="BS94" s="59"/>
      <x:c r="BT94" s="59"/>
      <x:c r="BU94" s="59"/>
      <x:c r="BV94" s="59"/>
      <x:c r="BW94" s="59"/>
      <x:c r="BX94" s="59"/>
      <x:c r="BY94" s="59"/>
      <x:c r="BZ94" s="59"/>
      <x:c r="CA94" s="59"/>
      <x:c r="CB94" s="59"/>
      <x:c r="CC94" s="59"/>
      <x:c r="CD94" s="59"/>
      <x:c r="CE94" s="59"/>
      <x:c r="CF94" s="59"/>
      <x:c r="CG94" s="59"/>
      <x:c r="CH94" s="59"/>
      <x:c r="CI94" s="59"/>
      <x:c r="CJ94" s="59"/>
      <x:c r="CK94" s="59"/>
      <x:c r="CL94" s="59"/>
      <x:c r="CM94" s="59"/>
      <x:c r="CN94" s="59"/>
      <x:c r="CO94" s="59"/>
      <x:c r="CP94" s="59"/>
      <x:c r="CQ94" s="59"/>
      <x:c r="CR94" s="59"/>
      <x:c r="CS94" s="59"/>
      <x:c r="CT94" s="59"/>
      <x:c r="CU94" s="59"/>
      <x:c r="CV94" s="59"/>
      <x:c r="CW94" s="59"/>
      <x:c r="CX94" s="59"/>
      <x:c r="CY94" s="59"/>
      <x:c r="CZ94" s="59"/>
      <x:c r="DA94" s="59"/>
      <x:c r="DB94" s="59"/>
      <x:c r="DC94" s="59"/>
      <x:c r="DD94" s="59"/>
      <x:c r="DE94" s="59"/>
      <x:c r="DF94" s="59"/>
      <x:c r="DG94" s="59"/>
      <x:c r="DH94" s="59"/>
      <x:c r="DI94" s="59"/>
      <x:c r="DJ94" s="59"/>
      <x:c r="DK94" s="59"/>
      <x:c r="DL94" s="59"/>
      <x:c r="DM94" s="59"/>
      <x:c r="DN94" s="59"/>
      <x:c r="DO94" s="59"/>
      <x:c r="DP94" s="59"/>
      <x:c r="DQ94" s="59"/>
      <x:c r="DR94" s="59"/>
      <x:c r="DS94" s="59"/>
      <x:c r="DT94" s="59"/>
      <x:c r="DU94" s="59"/>
      <x:c r="DV94" s="59"/>
      <x:c r="DW94" s="59"/>
      <x:c r="DX94" s="59"/>
      <x:c r="DY94" s="59"/>
      <x:c r="DZ94" s="59"/>
      <x:c r="EA94" s="59"/>
      <x:c r="EB94" s="59"/>
      <x:c r="EC94" s="59"/>
      <x:c r="ED94" s="59"/>
      <x:c r="EE94" s="59"/>
      <x:c r="EF94" s="59"/>
      <x:c r="EG94" s="59"/>
      <x:c r="EH94" s="59"/>
      <x:c r="EI94" s="59"/>
      <x:c r="EJ94" s="59"/>
      <x:c r="EK94" s="59"/>
      <x:c r="EL94" s="59"/>
      <x:c r="EM94" s="59"/>
      <x:c r="EN94" s="59"/>
      <x:c r="EO94" s="59"/>
      <x:c r="EP94" s="59"/>
      <x:c r="EQ94" s="59"/>
      <x:c r="ER94" s="59"/>
      <x:c r="ES94" s="59"/>
      <x:c r="ET94" s="59"/>
      <x:c r="EU94" s="59"/>
      <x:c r="EV94" s="59"/>
      <x:c r="EW94" s="59"/>
      <x:c r="EX94" s="59"/>
      <x:c r="EY94" s="59"/>
      <x:c r="EZ94" s="59"/>
      <x:c r="FA94" s="59"/>
      <x:c r="FB94" s="59"/>
      <x:c r="FC94" s="59"/>
      <x:c r="FD94" s="59"/>
      <x:c r="FE94" s="59"/>
      <x:c r="FF94" s="59"/>
      <x:c r="FG94" s="59"/>
      <x:c r="FH94" s="59"/>
      <x:c r="FI94" s="59"/>
      <x:c r="FJ94" s="59"/>
      <x:c r="FK94" s="59"/>
      <x:c r="FL94" s="59"/>
      <x:c r="FM94" s="59"/>
      <x:c r="FN94" s="59"/>
      <x:c r="FO94" s="59"/>
      <x:c r="FP94" s="59"/>
      <x:c r="FQ94" s="59"/>
      <x:c r="FR94" s="59"/>
      <x:c r="FS94" s="59"/>
      <x:c r="FT94" s="59"/>
      <x:c r="FU94" s="59"/>
      <x:c r="FV94" s="59"/>
      <x:c r="FW94" s="59"/>
      <x:c r="FX94" s="59"/>
      <x:c r="FY94" s="59"/>
      <x:c r="FZ94" s="59"/>
      <x:c r="GA94" s="59"/>
      <x:c r="GB94" s="59"/>
      <x:c r="GC94" s="59"/>
      <x:c r="GD94" s="59"/>
      <x:c r="GE94" s="59"/>
      <x:c r="GF94" s="59"/>
      <x:c r="GG94" s="59"/>
      <x:c r="GH94" s="59"/>
      <x:c r="GI94" s="59"/>
      <x:c r="GJ94" s="59"/>
      <x:c r="GK94" s="59"/>
      <x:c r="GL94" s="59"/>
      <x:c r="GM94" s="59"/>
      <x:c r="GN94" s="59"/>
      <x:c r="GO94" s="59"/>
      <x:c r="GP94" s="59"/>
      <x:c r="GQ94" s="59"/>
      <x:c r="GR94" s="59"/>
      <x:c r="GS94" s="59"/>
      <x:c r="GT94" s="59"/>
      <x:c r="GU94" s="59"/>
      <x:c r="GV94" s="59"/>
      <x:c r="GW94" s="59"/>
      <x:c r="GX94" s="59"/>
      <x:c r="GY94" s="59"/>
      <x:c r="GZ94" s="59"/>
      <x:c r="HA94" s="59"/>
      <x:c r="HB94" s="59"/>
      <x:c r="HC94" s="59"/>
      <x:c r="HD94" s="59"/>
      <x:c r="HE94" s="59"/>
      <x:c r="HF94" s="59"/>
      <x:c r="HG94" s="59"/>
      <x:c r="HH94" s="59"/>
      <x:c r="HI94" s="59"/>
      <x:c r="HJ94" s="59"/>
      <x:c r="HK94" s="59"/>
      <x:c r="HL94" s="59"/>
      <x:c r="HM94" s="59"/>
      <x:c r="HN94" s="59"/>
      <x:c r="HO94" s="59"/>
      <x:c r="HP94" s="59"/>
      <x:c r="HQ94" s="59"/>
      <x:c r="HR94" s="59"/>
      <x:c r="HS94" s="59"/>
      <x:c r="HT94" s="59"/>
      <x:c r="HU94" s="59"/>
      <x:c r="HV94" s="59"/>
      <x:c r="HW94" s="59"/>
      <x:c r="HX94" s="59"/>
      <x:c r="HY94" s="59"/>
      <x:c r="HZ94" s="59"/>
      <x:c r="IA94" s="59"/>
      <x:c r="IB94" s="59"/>
      <x:c r="IC94" s="59"/>
      <x:c r="ID94" s="59"/>
      <x:c r="IE94" s="59"/>
      <x:c r="IF94" s="59"/>
      <x:c r="IG94" s="59"/>
      <x:c r="IH94" s="59"/>
      <x:c r="II94" s="59"/>
      <x:c r="IJ94" s="59"/>
      <x:c r="IK94" s="59"/>
      <x:c r="IL94" s="59"/>
      <x:c r="IM94" s="59"/>
      <x:c r="IN94" s="59"/>
      <x:c r="IO94" s="59"/>
      <x:c r="IP94" s="59"/>
      <x:c r="IQ94" s="59"/>
      <x:c r="IR94" s="59"/>
      <x:c r="IS94" s="59"/>
      <x:c r="IT94" s="59"/>
      <x:c r="IU94" s="59"/>
      <x:c r="IV94" s="59"/>
      <x:c r="IW94" s="59"/>
      <x:c r="IX94" s="59"/>
      <x:c r="IY94" s="59"/>
      <x:c r="IZ94" s="59"/>
      <x:c r="JA94" s="59"/>
      <x:c r="JB94" s="59"/>
      <x:c r="JC94" s="59"/>
      <x:c r="JD94" s="59"/>
      <x:c r="JE94" s="59"/>
      <x:c r="JF94" s="59"/>
      <x:c r="JG94" s="59"/>
      <x:c r="JH94" s="59"/>
      <x:c r="JI94" s="59"/>
      <x:c r="JJ94" s="59"/>
      <x:c r="JK94" s="59"/>
      <x:c r="JL94" s="59"/>
      <x:c r="JM94" s="59"/>
      <x:c r="JN94" s="59"/>
      <x:c r="JO94" s="59"/>
      <x:c r="JP94" s="59"/>
      <x:c r="JQ94" s="59"/>
      <x:c r="JR94" s="59"/>
      <x:c r="JS94" s="59"/>
      <x:c r="JT94" s="59"/>
      <x:c r="JU94" s="59"/>
      <x:c r="JV94" s="59"/>
      <x:c r="JW94" s="59"/>
      <x:c r="JX94" s="59"/>
      <x:c r="JY94" s="59"/>
      <x:c r="JZ94" s="59"/>
      <x:c r="KA94" s="59"/>
      <x:c r="KB94" s="59"/>
      <x:c r="KC94" s="59"/>
      <x:c r="KD94" s="59"/>
      <x:c r="KE94" s="59"/>
      <x:c r="KF94" s="59"/>
      <x:c r="KG94" s="59"/>
      <x:c r="KH94" s="59"/>
      <x:c r="KI94" s="59"/>
      <x:c r="KJ94" s="59"/>
      <x:c r="KK94" s="59"/>
      <x:c r="KL94" s="59"/>
      <x:c r="KM94" s="59"/>
      <x:c r="KN94" s="59"/>
      <x:c r="KO94" s="59"/>
      <x:c r="KP94" s="59"/>
      <x:c r="KQ94" s="59"/>
      <x:c r="KR94" s="59"/>
      <x:c r="KS94" s="59"/>
      <x:c r="KT94" s="59"/>
      <x:c r="KU94" s="59"/>
      <x:c r="KV94" s="59"/>
      <x:c r="KW94" s="59"/>
      <x:c r="KX94" s="59"/>
      <x:c r="KY94" s="59"/>
      <x:c r="KZ94" s="59"/>
      <x:c r="LA94" s="59"/>
      <x:c r="LB94" s="59"/>
      <x:c r="LC94" s="59"/>
      <x:c r="LD94" s="59"/>
      <x:c r="LE94" s="59"/>
      <x:c r="LF94" s="59"/>
      <x:c r="LG94" s="59"/>
      <x:c r="LH94" s="59"/>
      <x:c r="LI94" s="59"/>
      <x:c r="LJ94" s="59"/>
      <x:c r="LK94" s="59"/>
      <x:c r="LL94" s="59"/>
      <x:c r="LM94" s="59"/>
      <x:c r="LN94" s="59"/>
      <x:c r="LO94" s="59"/>
      <x:c r="LP94" s="59"/>
      <x:c r="LQ94" s="59"/>
      <x:c r="LR94" s="59"/>
      <x:c r="LS94" s="59"/>
      <x:c r="LT94" s="59"/>
      <x:c r="LU94" s="59"/>
      <x:c r="LV94" s="59"/>
      <x:c r="LW94" s="59"/>
      <x:c r="LX94" s="59"/>
      <x:c r="LY94" s="59"/>
      <x:c r="LZ94" s="59"/>
      <x:c r="MA94" s="59"/>
      <x:c r="MB94" s="59"/>
      <x:c r="MC94" s="59"/>
      <x:c r="MD94" s="59"/>
      <x:c r="ME94" s="59"/>
      <x:c r="MF94" s="59"/>
      <x:c r="MG94" s="59"/>
      <x:c r="MH94" s="59"/>
      <x:c r="MI94" s="59"/>
      <x:c r="MJ94" s="59"/>
      <x:c r="MK94" s="59"/>
      <x:c r="ML94" s="59"/>
      <x:c r="MM94" s="59"/>
      <x:c r="MN94" s="59"/>
      <x:c r="MO94" s="59"/>
      <x:c r="MP94" s="59"/>
      <x:c r="MQ94" s="59"/>
      <x:c r="MR94" s="59"/>
      <x:c r="MS94" s="59"/>
      <x:c r="MT94" s="59"/>
      <x:c r="MU94" s="59"/>
      <x:c r="MV94" s="59"/>
      <x:c r="MW94" s="59"/>
      <x:c r="MX94" s="59"/>
      <x:c r="MY94" s="59"/>
      <x:c r="MZ94" s="59"/>
      <x:c r="NA94" s="59"/>
      <x:c r="NB94" s="59"/>
      <x:c r="NC94" s="59"/>
      <x:c r="ND94" s="59"/>
      <x:c r="NE94" s="59"/>
      <x:c r="NF94" s="59"/>
      <x:c r="NG94" s="59"/>
      <x:c r="NH94" s="59"/>
      <x:c r="NI94" s="59"/>
      <x:c r="NJ94" s="59"/>
      <x:c r="NK94" s="59"/>
      <x:c r="NL94" s="59"/>
      <x:c r="NM94" s="59"/>
      <x:c r="NN94" s="59"/>
      <x:c r="NO94" s="59"/>
      <x:c r="NP94" s="59"/>
      <x:c r="NQ94" s="59"/>
      <x:c r="NR94" s="59"/>
      <x:c r="NS94" s="59"/>
      <x:c r="NT94" s="59"/>
      <x:c r="NU94" s="59"/>
      <x:c r="NV94" s="59"/>
      <x:c r="NW94" s="59"/>
      <x:c r="NX94" s="59"/>
      <x:c r="NY94" s="59"/>
      <x:c r="NZ94" s="59"/>
      <x:c r="OA94" s="59"/>
      <x:c r="OB94" s="59"/>
      <x:c r="OC94" s="59"/>
      <x:c r="OD94" s="59"/>
      <x:c r="OE94" s="59"/>
      <x:c r="OF94" s="59"/>
      <x:c r="OG94" s="59"/>
      <x:c r="OH94" s="59"/>
      <x:c r="OI94" s="59"/>
      <x:c r="OJ94" s="59"/>
      <x:c r="OK94" s="59"/>
      <x:c r="OL94" s="59"/>
      <x:c r="OM94" s="59"/>
      <x:c r="ON94" s="59"/>
      <x:c r="OO94" s="59"/>
      <x:c r="OP94" s="59"/>
      <x:c r="OQ94" s="59"/>
      <x:c r="OR94" s="59"/>
      <x:c r="OS94" s="59"/>
      <x:c r="OT94" s="59"/>
      <x:c r="OU94" s="59"/>
      <x:c r="OV94" s="59"/>
      <x:c r="OW94" s="59"/>
      <x:c r="OX94" s="59"/>
      <x:c r="OY94" s="59"/>
      <x:c r="OZ94" s="59"/>
      <x:c r="PA94" s="59"/>
      <x:c r="PB94" s="59"/>
      <x:c r="PC94" s="59"/>
      <x:c r="PD94" s="59"/>
      <x:c r="PE94" s="59"/>
      <x:c r="PF94" s="59"/>
      <x:c r="PG94" s="59"/>
      <x:c r="PH94" s="59"/>
      <x:c r="PI94" s="59"/>
      <x:c r="PJ94" s="59"/>
      <x:c r="PK94" s="59"/>
      <x:c r="PL94" s="59"/>
      <x:c r="PM94" s="59"/>
      <x:c r="PN94" s="59"/>
      <x:c r="PO94" s="59"/>
      <x:c r="PP94" s="59"/>
      <x:c r="PQ94" s="59"/>
      <x:c r="PR94" s="59"/>
      <x:c r="PS94" s="59"/>
      <x:c r="PT94" s="59"/>
      <x:c r="PU94" s="59"/>
      <x:c r="PV94" s="59"/>
      <x:c r="PW94" s="59"/>
      <x:c r="PX94" s="59"/>
      <x:c r="PY94" s="59"/>
      <x:c r="PZ94" s="59"/>
      <x:c r="QA94" s="59"/>
      <x:c r="QB94" s="59"/>
      <x:c r="QC94" s="59"/>
      <x:c r="QD94" s="59"/>
      <x:c r="QE94" s="59"/>
      <x:c r="QF94" s="59"/>
      <x:c r="QG94" s="59"/>
      <x:c r="QH94" s="59"/>
      <x:c r="QI94" s="59"/>
      <x:c r="QJ94" s="59"/>
      <x:c r="QK94" s="59"/>
      <x:c r="QL94" s="59"/>
      <x:c r="QM94" s="59"/>
      <x:c r="QN94" s="59"/>
      <x:c r="QO94" s="59"/>
      <x:c r="QP94" s="59"/>
      <x:c r="QQ94" s="59"/>
      <x:c r="QR94" s="59"/>
      <x:c r="QS94" s="59"/>
      <x:c r="QT94" s="59"/>
      <x:c r="QU94" s="59"/>
      <x:c r="QV94" s="59"/>
      <x:c r="QW94" s="59"/>
      <x:c r="QX94" s="59"/>
      <x:c r="QY94" s="59"/>
      <x:c r="QZ94" s="59"/>
      <x:c r="RA94" s="59"/>
      <x:c r="RB94" s="59"/>
      <x:c r="RC94" s="59"/>
      <x:c r="RD94" s="59"/>
      <x:c r="RE94" s="59"/>
      <x:c r="RF94" s="59"/>
      <x:c r="RG94" s="59"/>
      <x:c r="RH94" s="59"/>
      <x:c r="RI94" s="59"/>
      <x:c r="RJ94" s="59"/>
      <x:c r="RK94" s="59"/>
      <x:c r="RL94" s="59"/>
      <x:c r="RM94" s="59"/>
      <x:c r="RN94" s="59"/>
      <x:c r="RO94" s="59"/>
      <x:c r="RP94" s="59"/>
      <x:c r="RQ94" s="59"/>
      <x:c r="RR94" s="59"/>
      <x:c r="RS94" s="59"/>
      <x:c r="RT94" s="59"/>
      <x:c r="RU94" s="59"/>
      <x:c r="RV94" s="59"/>
      <x:c r="RW94" s="59"/>
      <x:c r="RX94" s="59"/>
      <x:c r="RY94" s="59"/>
      <x:c r="RZ94" s="59"/>
      <x:c r="SA94" s="59"/>
      <x:c r="SB94" s="59"/>
      <x:c r="SC94" s="59"/>
      <x:c r="SD94" s="59"/>
      <x:c r="SE94" s="59"/>
      <x:c r="SF94" s="59"/>
    </x:row>
    <x:row r="95" ht="27">
      <x:c r="A95" s="73" t="s">
        <x:v>167</x:v>
      </x:c>
      <x:c r="B95" s="63" t="s">
        <x:v>168</x:v>
      </x:c>
      <x:c r="C95" s="63"/>
      <x:c r="D95" s="63"/>
      <x:c r="E95" s="63"/>
      <x:c r="F95" s="63"/>
      <x:c r="G95" s="63"/>
      <x:c r="H95" s="63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  <x:c r="AA95" s="59"/>
      <x:c r="AB95" s="59"/>
      <x:c r="AC95" s="59"/>
      <x:c r="AD95" s="59"/>
      <x:c r="AE95" s="59"/>
      <x:c r="AF95" s="59"/>
      <x:c r="AG95" s="59"/>
      <x:c r="AH95" s="59"/>
      <x:c r="AI95" s="59"/>
      <x:c r="AJ95" s="59"/>
      <x:c r="AK95" s="59"/>
      <x:c r="AL95" s="59"/>
      <x:c r="AM95" s="59"/>
      <x:c r="AN95" s="59"/>
      <x:c r="AO95" s="59"/>
      <x:c r="AP95" s="59"/>
      <x:c r="AQ95" s="59"/>
      <x:c r="AR95" s="59"/>
      <x:c r="AS95" s="59"/>
      <x:c r="AT95" s="59"/>
      <x:c r="AU95" s="59"/>
      <x:c r="AV95" s="59"/>
      <x:c r="AW95" s="59"/>
      <x:c r="AX95" s="59"/>
      <x:c r="AY95" s="59"/>
      <x:c r="AZ95" s="59"/>
      <x:c r="BA95" s="59"/>
      <x:c r="BB95" s="59"/>
      <x:c r="BC95" s="59"/>
      <x:c r="BD95" s="59"/>
      <x:c r="BE95" s="59"/>
      <x:c r="BF95" s="59"/>
      <x:c r="BG95" s="59"/>
      <x:c r="BH95" s="59"/>
      <x:c r="BI95" s="59"/>
      <x:c r="BJ95" s="59"/>
      <x:c r="BK95" s="59"/>
      <x:c r="BL95" s="59"/>
      <x:c r="BM95" s="59"/>
      <x:c r="BN95" s="59"/>
      <x:c r="BO95" s="59"/>
      <x:c r="BP95" s="59"/>
      <x:c r="BQ95" s="59"/>
      <x:c r="BR95" s="59"/>
      <x:c r="BS95" s="59"/>
      <x:c r="BT95" s="59"/>
      <x:c r="BU95" s="59"/>
      <x:c r="BV95" s="59"/>
      <x:c r="BW95" s="59"/>
      <x:c r="BX95" s="59"/>
      <x:c r="BY95" s="59"/>
      <x:c r="BZ95" s="59"/>
      <x:c r="CA95" s="59"/>
      <x:c r="CB95" s="59"/>
      <x:c r="CC95" s="59"/>
      <x:c r="CD95" s="59"/>
      <x:c r="CE95" s="59"/>
      <x:c r="CF95" s="59"/>
      <x:c r="CG95" s="59"/>
      <x:c r="CH95" s="59"/>
      <x:c r="CI95" s="59"/>
      <x:c r="CJ95" s="59"/>
      <x:c r="CK95" s="59"/>
      <x:c r="CL95" s="59"/>
      <x:c r="CM95" s="59"/>
      <x:c r="CN95" s="59"/>
      <x:c r="CO95" s="59"/>
      <x:c r="CP95" s="59"/>
      <x:c r="CQ95" s="59"/>
      <x:c r="CR95" s="59"/>
      <x:c r="CS95" s="59"/>
      <x:c r="CT95" s="59"/>
      <x:c r="CU95" s="59"/>
      <x:c r="CV95" s="59"/>
      <x:c r="CW95" s="59"/>
      <x:c r="CX95" s="59"/>
      <x:c r="CY95" s="59"/>
      <x:c r="CZ95" s="59"/>
      <x:c r="DA95" s="59"/>
      <x:c r="DB95" s="59"/>
      <x:c r="DC95" s="59"/>
      <x:c r="DD95" s="59"/>
      <x:c r="DE95" s="59"/>
      <x:c r="DF95" s="59"/>
      <x:c r="DG95" s="59"/>
      <x:c r="DH95" s="59"/>
      <x:c r="DI95" s="59"/>
      <x:c r="DJ95" s="59"/>
      <x:c r="DK95" s="59"/>
      <x:c r="DL95" s="59"/>
      <x:c r="DM95" s="59"/>
      <x:c r="DN95" s="59"/>
      <x:c r="DO95" s="59"/>
      <x:c r="DP95" s="59"/>
      <x:c r="DQ95" s="59"/>
      <x:c r="DR95" s="59"/>
      <x:c r="DS95" s="59"/>
      <x:c r="DT95" s="59"/>
      <x:c r="DU95" s="59"/>
      <x:c r="DV95" s="59"/>
      <x:c r="DW95" s="59"/>
      <x:c r="DX95" s="59"/>
      <x:c r="DY95" s="59"/>
      <x:c r="DZ95" s="59"/>
      <x:c r="EA95" s="59"/>
      <x:c r="EB95" s="59"/>
      <x:c r="EC95" s="59"/>
      <x:c r="ED95" s="59"/>
      <x:c r="EE95" s="59"/>
      <x:c r="EF95" s="59"/>
      <x:c r="EG95" s="59"/>
      <x:c r="EH95" s="59"/>
      <x:c r="EI95" s="59"/>
      <x:c r="EJ95" s="59"/>
      <x:c r="EK95" s="59"/>
      <x:c r="EL95" s="59"/>
      <x:c r="EM95" s="59"/>
      <x:c r="EN95" s="59"/>
      <x:c r="EO95" s="59"/>
      <x:c r="EP95" s="59"/>
      <x:c r="EQ95" s="59"/>
      <x:c r="ER95" s="59"/>
      <x:c r="ES95" s="59"/>
      <x:c r="ET95" s="59"/>
      <x:c r="EU95" s="59"/>
      <x:c r="EV95" s="59"/>
      <x:c r="EW95" s="59"/>
      <x:c r="EX95" s="59"/>
      <x:c r="EY95" s="59"/>
      <x:c r="EZ95" s="59"/>
      <x:c r="FA95" s="59"/>
      <x:c r="FB95" s="59"/>
      <x:c r="FC95" s="59"/>
      <x:c r="FD95" s="59"/>
      <x:c r="FE95" s="59"/>
      <x:c r="FF95" s="59"/>
      <x:c r="FG95" s="59"/>
      <x:c r="FH95" s="59"/>
      <x:c r="FI95" s="59"/>
      <x:c r="FJ95" s="59"/>
      <x:c r="FK95" s="59"/>
      <x:c r="FL95" s="59"/>
      <x:c r="FM95" s="59"/>
      <x:c r="FN95" s="59"/>
      <x:c r="FO95" s="59"/>
      <x:c r="FP95" s="59"/>
      <x:c r="FQ95" s="59"/>
      <x:c r="FR95" s="59"/>
      <x:c r="FS95" s="59"/>
      <x:c r="FT95" s="59"/>
      <x:c r="FU95" s="59"/>
      <x:c r="FV95" s="59"/>
      <x:c r="FW95" s="59"/>
      <x:c r="FX95" s="59"/>
      <x:c r="FY95" s="59"/>
      <x:c r="FZ95" s="59"/>
      <x:c r="GA95" s="59"/>
      <x:c r="GB95" s="59"/>
      <x:c r="GC95" s="59"/>
      <x:c r="GD95" s="59"/>
      <x:c r="GE95" s="59"/>
      <x:c r="GF95" s="59"/>
      <x:c r="GG95" s="59"/>
      <x:c r="GH95" s="59"/>
      <x:c r="GI95" s="59"/>
      <x:c r="GJ95" s="59"/>
      <x:c r="GK95" s="59"/>
      <x:c r="GL95" s="59"/>
      <x:c r="GM95" s="59"/>
      <x:c r="GN95" s="59"/>
      <x:c r="GO95" s="59"/>
      <x:c r="GP95" s="59"/>
      <x:c r="GQ95" s="59"/>
      <x:c r="GR95" s="59"/>
      <x:c r="GS95" s="59"/>
      <x:c r="GT95" s="59"/>
      <x:c r="GU95" s="59"/>
      <x:c r="GV95" s="59"/>
      <x:c r="GW95" s="59"/>
      <x:c r="GX95" s="59"/>
      <x:c r="GY95" s="59"/>
      <x:c r="GZ95" s="59"/>
      <x:c r="HA95" s="59"/>
      <x:c r="HB95" s="59"/>
      <x:c r="HC95" s="59"/>
      <x:c r="HD95" s="59"/>
      <x:c r="HE95" s="59"/>
      <x:c r="HF95" s="59"/>
      <x:c r="HG95" s="59"/>
      <x:c r="HH95" s="59"/>
      <x:c r="HI95" s="59"/>
      <x:c r="HJ95" s="59"/>
      <x:c r="HK95" s="59"/>
      <x:c r="HL95" s="59"/>
      <x:c r="HM95" s="59"/>
      <x:c r="HN95" s="59"/>
      <x:c r="HO95" s="59"/>
      <x:c r="HP95" s="59"/>
      <x:c r="HQ95" s="59"/>
      <x:c r="HR95" s="59"/>
      <x:c r="HS95" s="59"/>
      <x:c r="HT95" s="59"/>
      <x:c r="HU95" s="59"/>
      <x:c r="HV95" s="59"/>
      <x:c r="HW95" s="59"/>
      <x:c r="HX95" s="59"/>
      <x:c r="HY95" s="59"/>
      <x:c r="HZ95" s="59"/>
      <x:c r="IA95" s="59"/>
      <x:c r="IB95" s="59"/>
      <x:c r="IC95" s="59"/>
      <x:c r="ID95" s="59"/>
      <x:c r="IE95" s="59"/>
      <x:c r="IF95" s="59"/>
      <x:c r="IG95" s="59"/>
      <x:c r="IH95" s="59"/>
      <x:c r="II95" s="59"/>
      <x:c r="IJ95" s="59"/>
      <x:c r="IK95" s="59"/>
      <x:c r="IL95" s="59"/>
      <x:c r="IM95" s="59"/>
      <x:c r="IN95" s="59"/>
      <x:c r="IO95" s="59"/>
      <x:c r="IP95" s="59"/>
      <x:c r="IQ95" s="59"/>
      <x:c r="IR95" s="59"/>
      <x:c r="IS95" s="59"/>
      <x:c r="IT95" s="59"/>
      <x:c r="IU95" s="59"/>
      <x:c r="IV95" s="59"/>
      <x:c r="IW95" s="59"/>
      <x:c r="IX95" s="59"/>
      <x:c r="IY95" s="59"/>
      <x:c r="IZ95" s="59"/>
      <x:c r="JA95" s="59"/>
      <x:c r="JB95" s="59"/>
      <x:c r="JC95" s="59"/>
      <x:c r="JD95" s="59"/>
      <x:c r="JE95" s="59"/>
      <x:c r="JF95" s="59"/>
      <x:c r="JG95" s="59"/>
      <x:c r="JH95" s="59"/>
      <x:c r="JI95" s="59"/>
      <x:c r="JJ95" s="59"/>
      <x:c r="JK95" s="59"/>
      <x:c r="JL95" s="59"/>
      <x:c r="JM95" s="59"/>
      <x:c r="JN95" s="59"/>
      <x:c r="JO95" s="59"/>
      <x:c r="JP95" s="59"/>
      <x:c r="JQ95" s="59"/>
      <x:c r="JR95" s="59"/>
      <x:c r="JS95" s="59"/>
      <x:c r="JT95" s="59"/>
      <x:c r="JU95" s="59"/>
      <x:c r="JV95" s="59"/>
      <x:c r="JW95" s="59"/>
      <x:c r="JX95" s="59"/>
      <x:c r="JY95" s="59"/>
      <x:c r="JZ95" s="59"/>
      <x:c r="KA95" s="59"/>
      <x:c r="KB95" s="59"/>
      <x:c r="KC95" s="59"/>
      <x:c r="KD95" s="59"/>
      <x:c r="KE95" s="59"/>
      <x:c r="KF95" s="59"/>
      <x:c r="KG95" s="59"/>
      <x:c r="KH95" s="59"/>
      <x:c r="KI95" s="59"/>
      <x:c r="KJ95" s="59"/>
      <x:c r="KK95" s="59"/>
      <x:c r="KL95" s="59"/>
      <x:c r="KM95" s="59"/>
      <x:c r="KN95" s="59"/>
      <x:c r="KO95" s="59"/>
      <x:c r="KP95" s="59"/>
      <x:c r="KQ95" s="59"/>
      <x:c r="KR95" s="59"/>
      <x:c r="KS95" s="59"/>
      <x:c r="KT95" s="59"/>
      <x:c r="KU95" s="59"/>
      <x:c r="KV95" s="59"/>
      <x:c r="KW95" s="59"/>
      <x:c r="KX95" s="59"/>
      <x:c r="KY95" s="59"/>
      <x:c r="KZ95" s="59"/>
      <x:c r="LA95" s="59"/>
      <x:c r="LB95" s="59"/>
      <x:c r="LC95" s="59"/>
      <x:c r="LD95" s="59"/>
      <x:c r="LE95" s="59"/>
      <x:c r="LF95" s="59"/>
      <x:c r="LG95" s="59"/>
      <x:c r="LH95" s="59"/>
      <x:c r="LI95" s="59"/>
      <x:c r="LJ95" s="59"/>
      <x:c r="LK95" s="59"/>
      <x:c r="LL95" s="59"/>
      <x:c r="LM95" s="59"/>
      <x:c r="LN95" s="59"/>
      <x:c r="LO95" s="59"/>
      <x:c r="LP95" s="59"/>
      <x:c r="LQ95" s="59"/>
      <x:c r="LR95" s="59"/>
      <x:c r="LS95" s="59"/>
      <x:c r="LT95" s="59"/>
      <x:c r="LU95" s="59"/>
      <x:c r="LV95" s="59"/>
      <x:c r="LW95" s="59"/>
      <x:c r="LX95" s="59"/>
      <x:c r="LY95" s="59"/>
      <x:c r="LZ95" s="59"/>
      <x:c r="MA95" s="59"/>
      <x:c r="MB95" s="59"/>
      <x:c r="MC95" s="59"/>
      <x:c r="MD95" s="59"/>
      <x:c r="ME95" s="59"/>
      <x:c r="MF95" s="59"/>
      <x:c r="MG95" s="59"/>
      <x:c r="MH95" s="59"/>
      <x:c r="MI95" s="59"/>
      <x:c r="MJ95" s="59"/>
      <x:c r="MK95" s="59"/>
      <x:c r="ML95" s="59"/>
      <x:c r="MM95" s="59"/>
      <x:c r="MN95" s="59"/>
      <x:c r="MO95" s="59"/>
      <x:c r="MP95" s="59"/>
      <x:c r="MQ95" s="59"/>
      <x:c r="MR95" s="59"/>
      <x:c r="MS95" s="59"/>
      <x:c r="MT95" s="59"/>
      <x:c r="MU95" s="59"/>
      <x:c r="MV95" s="59"/>
      <x:c r="MW95" s="59"/>
      <x:c r="MX95" s="59"/>
      <x:c r="MY95" s="59"/>
      <x:c r="MZ95" s="59"/>
      <x:c r="NA95" s="59"/>
      <x:c r="NB95" s="59"/>
      <x:c r="NC95" s="59"/>
      <x:c r="ND95" s="59"/>
      <x:c r="NE95" s="59"/>
      <x:c r="NF95" s="59"/>
      <x:c r="NG95" s="59"/>
      <x:c r="NH95" s="59"/>
      <x:c r="NI95" s="59"/>
      <x:c r="NJ95" s="59"/>
      <x:c r="NK95" s="59"/>
      <x:c r="NL95" s="59"/>
      <x:c r="NM95" s="59"/>
      <x:c r="NN95" s="59"/>
      <x:c r="NO95" s="59"/>
      <x:c r="NP95" s="59"/>
      <x:c r="NQ95" s="59"/>
      <x:c r="NR95" s="59"/>
      <x:c r="NS95" s="59"/>
      <x:c r="NT95" s="59"/>
      <x:c r="NU95" s="59"/>
      <x:c r="NV95" s="59"/>
      <x:c r="NW95" s="59"/>
      <x:c r="NX95" s="59"/>
      <x:c r="NY95" s="59"/>
      <x:c r="NZ95" s="59"/>
      <x:c r="OA95" s="59"/>
      <x:c r="OB95" s="59"/>
      <x:c r="OC95" s="59"/>
      <x:c r="OD95" s="59"/>
      <x:c r="OE95" s="59"/>
      <x:c r="OF95" s="59"/>
      <x:c r="OG95" s="59"/>
      <x:c r="OH95" s="59"/>
      <x:c r="OI95" s="59"/>
      <x:c r="OJ95" s="59"/>
      <x:c r="OK95" s="59"/>
      <x:c r="OL95" s="59"/>
      <x:c r="OM95" s="59"/>
      <x:c r="ON95" s="59"/>
      <x:c r="OO95" s="59"/>
      <x:c r="OP95" s="59"/>
      <x:c r="OQ95" s="59"/>
      <x:c r="OR95" s="59"/>
      <x:c r="OS95" s="59"/>
      <x:c r="OT95" s="59"/>
      <x:c r="OU95" s="59"/>
      <x:c r="OV95" s="59"/>
      <x:c r="OW95" s="59"/>
      <x:c r="OX95" s="59"/>
      <x:c r="OY95" s="59"/>
      <x:c r="OZ95" s="59"/>
      <x:c r="PA95" s="59"/>
      <x:c r="PB95" s="59"/>
      <x:c r="PC95" s="59"/>
      <x:c r="PD95" s="59"/>
      <x:c r="PE95" s="59"/>
      <x:c r="PF95" s="59"/>
      <x:c r="PG95" s="59"/>
      <x:c r="PH95" s="59"/>
      <x:c r="PI95" s="59"/>
      <x:c r="PJ95" s="59"/>
      <x:c r="PK95" s="59"/>
      <x:c r="PL95" s="59"/>
      <x:c r="PM95" s="59"/>
      <x:c r="PN95" s="59"/>
      <x:c r="PO95" s="59"/>
      <x:c r="PP95" s="59"/>
      <x:c r="PQ95" s="59"/>
      <x:c r="PR95" s="59"/>
      <x:c r="PS95" s="59"/>
      <x:c r="PT95" s="59"/>
      <x:c r="PU95" s="59"/>
      <x:c r="PV95" s="59"/>
      <x:c r="PW95" s="59"/>
      <x:c r="PX95" s="59"/>
      <x:c r="PY95" s="59"/>
      <x:c r="PZ95" s="59"/>
      <x:c r="QA95" s="59"/>
      <x:c r="QB95" s="59"/>
      <x:c r="QC95" s="59"/>
      <x:c r="QD95" s="59"/>
      <x:c r="QE95" s="59"/>
      <x:c r="QF95" s="59"/>
      <x:c r="QG95" s="59"/>
      <x:c r="QH95" s="59"/>
      <x:c r="QI95" s="59"/>
      <x:c r="QJ95" s="59"/>
      <x:c r="QK95" s="59"/>
      <x:c r="QL95" s="59"/>
      <x:c r="QM95" s="59"/>
      <x:c r="QN95" s="59"/>
      <x:c r="QO95" s="59"/>
      <x:c r="QP95" s="59"/>
      <x:c r="QQ95" s="59"/>
      <x:c r="QR95" s="59"/>
      <x:c r="QS95" s="59"/>
      <x:c r="QT95" s="59"/>
      <x:c r="QU95" s="59"/>
      <x:c r="QV95" s="59"/>
      <x:c r="QW95" s="59"/>
      <x:c r="QX95" s="59"/>
      <x:c r="QY95" s="59"/>
      <x:c r="QZ95" s="59"/>
      <x:c r="RA95" s="59"/>
      <x:c r="RB95" s="59"/>
      <x:c r="RC95" s="59"/>
      <x:c r="RD95" s="59"/>
      <x:c r="RE95" s="59"/>
      <x:c r="RF95" s="59"/>
      <x:c r="RG95" s="59"/>
      <x:c r="RH95" s="59"/>
      <x:c r="RI95" s="59"/>
      <x:c r="RJ95" s="59"/>
      <x:c r="RK95" s="59"/>
      <x:c r="RL95" s="59"/>
      <x:c r="RM95" s="59"/>
      <x:c r="RN95" s="59"/>
      <x:c r="RO95" s="59"/>
      <x:c r="RP95" s="59"/>
      <x:c r="RQ95" s="59"/>
      <x:c r="RR95" s="59"/>
      <x:c r="RS95" s="59"/>
      <x:c r="RT95" s="59"/>
      <x:c r="RU95" s="59"/>
      <x:c r="RV95" s="59"/>
      <x:c r="RW95" s="59"/>
      <x:c r="RX95" s="59"/>
      <x:c r="RY95" s="59"/>
      <x:c r="RZ95" s="59"/>
      <x:c r="SA95" s="59"/>
      <x:c r="SB95" s="59"/>
      <x:c r="SC95" s="59"/>
      <x:c r="SD95" s="59"/>
      <x:c r="SE95" s="59"/>
      <x:c r="SF95" s="59"/>
    </x:row>
    <x:row r="96" ht="15" customHeight="1">
      <x:c r="A96" s="74" t="s">
        <x:v>169</x:v>
      </x:c>
      <x:c r="B96" s="56" t="s">
        <x:v>170</x:v>
      </x:c>
      <x:c r="C96" s="56"/>
      <x:c r="D96" s="56"/>
      <x:c r="E96" s="56"/>
      <x:c r="F96" s="56"/>
      <x:c r="G96" s="56"/>
      <x:c r="H96" s="56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  <x:c r="AA96" s="59"/>
      <x:c r="AB96" s="59"/>
      <x:c r="AC96" s="59"/>
      <x:c r="AD96" s="59"/>
      <x:c r="AE96" s="59"/>
      <x:c r="AF96" s="59"/>
      <x:c r="AG96" s="59"/>
      <x:c r="AH96" s="59"/>
      <x:c r="AI96" s="59"/>
      <x:c r="AJ96" s="59"/>
      <x:c r="AK96" s="59"/>
      <x:c r="AL96" s="59"/>
      <x:c r="AM96" s="59"/>
      <x:c r="AN96" s="59"/>
      <x:c r="AO96" s="59"/>
      <x:c r="AP96" s="59"/>
      <x:c r="AQ96" s="59"/>
      <x:c r="AR96" s="59"/>
      <x:c r="AS96" s="59"/>
      <x:c r="AT96" s="59"/>
      <x:c r="AU96" s="59"/>
      <x:c r="AV96" s="59"/>
      <x:c r="AW96" s="59"/>
      <x:c r="AX96" s="59"/>
      <x:c r="AY96" s="59"/>
      <x:c r="AZ96" s="59"/>
      <x:c r="BA96" s="59"/>
      <x:c r="BB96" s="59"/>
      <x:c r="BC96" s="59"/>
      <x:c r="BD96" s="59"/>
      <x:c r="BE96" s="59"/>
      <x:c r="BF96" s="59"/>
      <x:c r="BG96" s="59"/>
      <x:c r="BH96" s="59"/>
      <x:c r="BI96" s="59"/>
      <x:c r="BJ96" s="59"/>
      <x:c r="BK96" s="59"/>
      <x:c r="BL96" s="59"/>
      <x:c r="BM96" s="59"/>
      <x:c r="BN96" s="59"/>
      <x:c r="BO96" s="59"/>
      <x:c r="BP96" s="59"/>
      <x:c r="BQ96" s="59"/>
      <x:c r="BR96" s="59"/>
      <x:c r="BS96" s="59"/>
      <x:c r="BT96" s="59"/>
      <x:c r="BU96" s="59"/>
      <x:c r="BV96" s="59"/>
      <x:c r="BW96" s="59"/>
      <x:c r="BX96" s="59"/>
      <x:c r="BY96" s="59"/>
      <x:c r="BZ96" s="59"/>
      <x:c r="CA96" s="59"/>
      <x:c r="CB96" s="59"/>
      <x:c r="CC96" s="59"/>
      <x:c r="CD96" s="59"/>
      <x:c r="CE96" s="59"/>
      <x:c r="CF96" s="59"/>
      <x:c r="CG96" s="59"/>
      <x:c r="CH96" s="59"/>
      <x:c r="CI96" s="59"/>
      <x:c r="CJ96" s="59"/>
      <x:c r="CK96" s="59"/>
      <x:c r="CL96" s="59"/>
      <x:c r="CM96" s="59"/>
      <x:c r="CN96" s="59"/>
      <x:c r="CO96" s="59"/>
      <x:c r="CP96" s="59"/>
      <x:c r="CQ96" s="59"/>
      <x:c r="CR96" s="59"/>
      <x:c r="CS96" s="59"/>
      <x:c r="CT96" s="59"/>
      <x:c r="CU96" s="59"/>
      <x:c r="CV96" s="59"/>
      <x:c r="CW96" s="59"/>
      <x:c r="CX96" s="59"/>
      <x:c r="CY96" s="59"/>
      <x:c r="CZ96" s="59"/>
      <x:c r="DA96" s="59"/>
      <x:c r="DB96" s="59"/>
      <x:c r="DC96" s="59"/>
      <x:c r="DD96" s="59"/>
      <x:c r="DE96" s="59"/>
      <x:c r="DF96" s="59"/>
      <x:c r="DG96" s="59"/>
      <x:c r="DH96" s="59"/>
      <x:c r="DI96" s="59"/>
      <x:c r="DJ96" s="59"/>
      <x:c r="DK96" s="59"/>
      <x:c r="DL96" s="59"/>
      <x:c r="DM96" s="59"/>
      <x:c r="DN96" s="59"/>
      <x:c r="DO96" s="59"/>
      <x:c r="DP96" s="59"/>
      <x:c r="DQ96" s="59"/>
      <x:c r="DR96" s="59"/>
      <x:c r="DS96" s="59"/>
      <x:c r="DT96" s="59"/>
      <x:c r="DU96" s="59"/>
      <x:c r="DV96" s="59"/>
      <x:c r="DW96" s="59"/>
      <x:c r="DX96" s="59"/>
      <x:c r="DY96" s="59"/>
      <x:c r="DZ96" s="59"/>
      <x:c r="EA96" s="59"/>
      <x:c r="EB96" s="59"/>
      <x:c r="EC96" s="59"/>
      <x:c r="ED96" s="59"/>
      <x:c r="EE96" s="59"/>
      <x:c r="EF96" s="59"/>
      <x:c r="EG96" s="59"/>
      <x:c r="EH96" s="59"/>
      <x:c r="EI96" s="59"/>
      <x:c r="EJ96" s="59"/>
      <x:c r="EK96" s="59"/>
      <x:c r="EL96" s="59"/>
      <x:c r="EM96" s="59"/>
      <x:c r="EN96" s="59"/>
      <x:c r="EO96" s="59"/>
      <x:c r="EP96" s="59"/>
      <x:c r="EQ96" s="59"/>
      <x:c r="ER96" s="59"/>
      <x:c r="ES96" s="59"/>
      <x:c r="ET96" s="59"/>
      <x:c r="EU96" s="59"/>
      <x:c r="EV96" s="59"/>
      <x:c r="EW96" s="59"/>
      <x:c r="EX96" s="59"/>
      <x:c r="EY96" s="59"/>
      <x:c r="EZ96" s="59"/>
      <x:c r="FA96" s="59"/>
      <x:c r="FB96" s="59"/>
      <x:c r="FC96" s="59"/>
      <x:c r="FD96" s="59"/>
      <x:c r="FE96" s="59"/>
      <x:c r="FF96" s="59"/>
      <x:c r="FG96" s="59"/>
      <x:c r="FH96" s="59"/>
      <x:c r="FI96" s="59"/>
      <x:c r="FJ96" s="59"/>
      <x:c r="FK96" s="59"/>
      <x:c r="FL96" s="59"/>
      <x:c r="FM96" s="59"/>
      <x:c r="FN96" s="59"/>
      <x:c r="FO96" s="59"/>
      <x:c r="FP96" s="59"/>
      <x:c r="FQ96" s="59"/>
      <x:c r="FR96" s="59"/>
      <x:c r="FS96" s="59"/>
      <x:c r="FT96" s="59"/>
      <x:c r="FU96" s="59"/>
      <x:c r="FV96" s="59"/>
      <x:c r="FW96" s="59"/>
      <x:c r="FX96" s="59"/>
      <x:c r="FY96" s="59"/>
      <x:c r="FZ96" s="59"/>
      <x:c r="GA96" s="59"/>
      <x:c r="GB96" s="59"/>
      <x:c r="GC96" s="59"/>
      <x:c r="GD96" s="59"/>
      <x:c r="GE96" s="59"/>
      <x:c r="GF96" s="59"/>
      <x:c r="GG96" s="59"/>
      <x:c r="GH96" s="59"/>
      <x:c r="GI96" s="59"/>
      <x:c r="GJ96" s="59"/>
      <x:c r="GK96" s="59"/>
      <x:c r="GL96" s="59"/>
      <x:c r="GM96" s="59"/>
      <x:c r="GN96" s="59"/>
      <x:c r="GO96" s="59"/>
      <x:c r="GP96" s="59"/>
      <x:c r="GQ96" s="59"/>
      <x:c r="GR96" s="59"/>
      <x:c r="GS96" s="59"/>
      <x:c r="GT96" s="59"/>
      <x:c r="GU96" s="59"/>
      <x:c r="GV96" s="59"/>
      <x:c r="GW96" s="59"/>
      <x:c r="GX96" s="59"/>
      <x:c r="GY96" s="59"/>
      <x:c r="GZ96" s="59"/>
      <x:c r="HA96" s="59"/>
      <x:c r="HB96" s="59"/>
      <x:c r="HC96" s="59"/>
      <x:c r="HD96" s="59"/>
      <x:c r="HE96" s="59"/>
      <x:c r="HF96" s="59"/>
      <x:c r="HG96" s="59"/>
      <x:c r="HH96" s="59"/>
      <x:c r="HI96" s="59"/>
      <x:c r="HJ96" s="59"/>
      <x:c r="HK96" s="59"/>
      <x:c r="HL96" s="59"/>
      <x:c r="HM96" s="59"/>
      <x:c r="HN96" s="59"/>
      <x:c r="HO96" s="59"/>
      <x:c r="HP96" s="59"/>
      <x:c r="HQ96" s="59"/>
      <x:c r="HR96" s="59"/>
      <x:c r="HS96" s="59"/>
      <x:c r="HT96" s="59"/>
      <x:c r="HU96" s="59"/>
      <x:c r="HV96" s="59"/>
      <x:c r="HW96" s="59"/>
      <x:c r="HX96" s="59"/>
      <x:c r="HY96" s="59"/>
      <x:c r="HZ96" s="59"/>
      <x:c r="IA96" s="59"/>
      <x:c r="IB96" s="59"/>
      <x:c r="IC96" s="59"/>
      <x:c r="ID96" s="59"/>
      <x:c r="IE96" s="59"/>
      <x:c r="IF96" s="59"/>
      <x:c r="IG96" s="59"/>
      <x:c r="IH96" s="59"/>
      <x:c r="II96" s="59"/>
      <x:c r="IJ96" s="59"/>
      <x:c r="IK96" s="59"/>
      <x:c r="IL96" s="59"/>
      <x:c r="IM96" s="59"/>
      <x:c r="IN96" s="59"/>
      <x:c r="IO96" s="59"/>
      <x:c r="IP96" s="59"/>
      <x:c r="IQ96" s="59"/>
      <x:c r="IR96" s="59"/>
      <x:c r="IS96" s="59"/>
      <x:c r="IT96" s="59"/>
      <x:c r="IU96" s="59"/>
      <x:c r="IV96" s="59"/>
      <x:c r="IW96" s="59"/>
      <x:c r="IX96" s="59"/>
      <x:c r="IY96" s="59"/>
      <x:c r="IZ96" s="59"/>
      <x:c r="JA96" s="59"/>
      <x:c r="JB96" s="59"/>
      <x:c r="JC96" s="59"/>
      <x:c r="JD96" s="59"/>
      <x:c r="JE96" s="59"/>
      <x:c r="JF96" s="59"/>
      <x:c r="JG96" s="59"/>
      <x:c r="JH96" s="59"/>
      <x:c r="JI96" s="59"/>
      <x:c r="JJ96" s="59"/>
      <x:c r="JK96" s="59"/>
      <x:c r="JL96" s="59"/>
      <x:c r="JM96" s="59"/>
      <x:c r="JN96" s="59"/>
      <x:c r="JO96" s="59"/>
      <x:c r="JP96" s="59"/>
      <x:c r="JQ96" s="59"/>
      <x:c r="JR96" s="59"/>
      <x:c r="JS96" s="59"/>
      <x:c r="JT96" s="59"/>
      <x:c r="JU96" s="59"/>
      <x:c r="JV96" s="59"/>
      <x:c r="JW96" s="59"/>
      <x:c r="JX96" s="59"/>
      <x:c r="JY96" s="59"/>
      <x:c r="JZ96" s="59"/>
      <x:c r="KA96" s="59"/>
      <x:c r="KB96" s="59"/>
      <x:c r="KC96" s="59"/>
      <x:c r="KD96" s="59"/>
      <x:c r="KE96" s="59"/>
      <x:c r="KF96" s="59"/>
      <x:c r="KG96" s="59"/>
      <x:c r="KH96" s="59"/>
      <x:c r="KI96" s="59"/>
      <x:c r="KJ96" s="59"/>
      <x:c r="KK96" s="59"/>
      <x:c r="KL96" s="59"/>
      <x:c r="KM96" s="59"/>
      <x:c r="KN96" s="59"/>
      <x:c r="KO96" s="59"/>
      <x:c r="KP96" s="59"/>
      <x:c r="KQ96" s="59"/>
      <x:c r="KR96" s="59"/>
      <x:c r="KS96" s="59"/>
      <x:c r="KT96" s="59"/>
      <x:c r="KU96" s="59"/>
      <x:c r="KV96" s="59"/>
      <x:c r="KW96" s="59"/>
      <x:c r="KX96" s="59"/>
      <x:c r="KY96" s="59"/>
      <x:c r="KZ96" s="59"/>
      <x:c r="LA96" s="59"/>
      <x:c r="LB96" s="59"/>
      <x:c r="LC96" s="59"/>
      <x:c r="LD96" s="59"/>
      <x:c r="LE96" s="59"/>
      <x:c r="LF96" s="59"/>
      <x:c r="LG96" s="59"/>
      <x:c r="LH96" s="59"/>
      <x:c r="LI96" s="59"/>
      <x:c r="LJ96" s="59"/>
      <x:c r="LK96" s="59"/>
      <x:c r="LL96" s="59"/>
      <x:c r="LM96" s="59"/>
      <x:c r="LN96" s="59"/>
      <x:c r="LO96" s="59"/>
      <x:c r="LP96" s="59"/>
      <x:c r="LQ96" s="59"/>
      <x:c r="LR96" s="59"/>
      <x:c r="LS96" s="59"/>
      <x:c r="LT96" s="59"/>
      <x:c r="LU96" s="59"/>
      <x:c r="LV96" s="59"/>
      <x:c r="LW96" s="59"/>
      <x:c r="LX96" s="59"/>
      <x:c r="LY96" s="59"/>
      <x:c r="LZ96" s="59"/>
      <x:c r="MA96" s="59"/>
      <x:c r="MB96" s="59"/>
      <x:c r="MC96" s="59"/>
      <x:c r="MD96" s="59"/>
      <x:c r="ME96" s="59"/>
      <x:c r="MF96" s="59"/>
      <x:c r="MG96" s="59"/>
      <x:c r="MH96" s="59"/>
      <x:c r="MI96" s="59"/>
      <x:c r="MJ96" s="59"/>
      <x:c r="MK96" s="59"/>
      <x:c r="ML96" s="59"/>
      <x:c r="MM96" s="59"/>
      <x:c r="MN96" s="59"/>
      <x:c r="MO96" s="59"/>
      <x:c r="MP96" s="59"/>
      <x:c r="MQ96" s="59"/>
      <x:c r="MR96" s="59"/>
      <x:c r="MS96" s="59"/>
      <x:c r="MT96" s="59"/>
      <x:c r="MU96" s="59"/>
      <x:c r="MV96" s="59"/>
      <x:c r="MW96" s="59"/>
      <x:c r="MX96" s="59"/>
      <x:c r="MY96" s="59"/>
      <x:c r="MZ96" s="59"/>
      <x:c r="NA96" s="59"/>
      <x:c r="NB96" s="59"/>
      <x:c r="NC96" s="59"/>
      <x:c r="ND96" s="59"/>
      <x:c r="NE96" s="59"/>
      <x:c r="NF96" s="59"/>
      <x:c r="NG96" s="59"/>
      <x:c r="NH96" s="59"/>
      <x:c r="NI96" s="59"/>
      <x:c r="NJ96" s="59"/>
      <x:c r="NK96" s="59"/>
      <x:c r="NL96" s="59"/>
      <x:c r="NM96" s="59"/>
      <x:c r="NN96" s="59"/>
      <x:c r="NO96" s="59"/>
      <x:c r="NP96" s="59"/>
      <x:c r="NQ96" s="59"/>
      <x:c r="NR96" s="59"/>
      <x:c r="NS96" s="59"/>
      <x:c r="NT96" s="59"/>
      <x:c r="NU96" s="59"/>
      <x:c r="NV96" s="59"/>
      <x:c r="NW96" s="59"/>
      <x:c r="NX96" s="59"/>
      <x:c r="NY96" s="59"/>
      <x:c r="NZ96" s="59"/>
      <x:c r="OA96" s="59"/>
      <x:c r="OB96" s="59"/>
      <x:c r="OC96" s="59"/>
      <x:c r="OD96" s="59"/>
      <x:c r="OE96" s="59"/>
      <x:c r="OF96" s="59"/>
      <x:c r="OG96" s="59"/>
      <x:c r="OH96" s="59"/>
      <x:c r="OI96" s="59"/>
      <x:c r="OJ96" s="59"/>
      <x:c r="OK96" s="59"/>
      <x:c r="OL96" s="59"/>
      <x:c r="OM96" s="59"/>
      <x:c r="ON96" s="59"/>
      <x:c r="OO96" s="59"/>
      <x:c r="OP96" s="59"/>
      <x:c r="OQ96" s="59"/>
      <x:c r="OR96" s="59"/>
      <x:c r="OS96" s="59"/>
      <x:c r="OT96" s="59"/>
      <x:c r="OU96" s="59"/>
      <x:c r="OV96" s="59"/>
      <x:c r="OW96" s="59"/>
      <x:c r="OX96" s="59"/>
      <x:c r="OY96" s="59"/>
      <x:c r="OZ96" s="59"/>
      <x:c r="PA96" s="59"/>
      <x:c r="PB96" s="59"/>
      <x:c r="PC96" s="59"/>
      <x:c r="PD96" s="59"/>
      <x:c r="PE96" s="59"/>
      <x:c r="PF96" s="59"/>
      <x:c r="PG96" s="59"/>
      <x:c r="PH96" s="59"/>
      <x:c r="PI96" s="59"/>
      <x:c r="PJ96" s="59"/>
      <x:c r="PK96" s="59"/>
      <x:c r="PL96" s="59"/>
      <x:c r="PM96" s="59"/>
      <x:c r="PN96" s="59"/>
      <x:c r="PO96" s="59"/>
      <x:c r="PP96" s="59"/>
      <x:c r="PQ96" s="59"/>
      <x:c r="PR96" s="59"/>
      <x:c r="PS96" s="59"/>
      <x:c r="PT96" s="59"/>
      <x:c r="PU96" s="59"/>
      <x:c r="PV96" s="59"/>
      <x:c r="PW96" s="59"/>
      <x:c r="PX96" s="59"/>
      <x:c r="PY96" s="59"/>
      <x:c r="PZ96" s="59"/>
      <x:c r="QA96" s="59"/>
      <x:c r="QB96" s="59"/>
      <x:c r="QC96" s="59"/>
      <x:c r="QD96" s="59"/>
      <x:c r="QE96" s="59"/>
      <x:c r="QF96" s="59"/>
      <x:c r="QG96" s="59"/>
      <x:c r="QH96" s="59"/>
      <x:c r="QI96" s="59"/>
      <x:c r="QJ96" s="59"/>
      <x:c r="QK96" s="59"/>
      <x:c r="QL96" s="59"/>
      <x:c r="QM96" s="59"/>
      <x:c r="QN96" s="59"/>
      <x:c r="QO96" s="59"/>
      <x:c r="QP96" s="59"/>
      <x:c r="QQ96" s="59"/>
      <x:c r="QR96" s="59"/>
      <x:c r="QS96" s="59"/>
      <x:c r="QT96" s="59"/>
      <x:c r="QU96" s="59"/>
      <x:c r="QV96" s="59"/>
      <x:c r="QW96" s="59"/>
      <x:c r="QX96" s="59"/>
      <x:c r="QY96" s="59"/>
      <x:c r="QZ96" s="59"/>
      <x:c r="RA96" s="59"/>
      <x:c r="RB96" s="59"/>
      <x:c r="RC96" s="59"/>
      <x:c r="RD96" s="59"/>
      <x:c r="RE96" s="59"/>
      <x:c r="RF96" s="59"/>
      <x:c r="RG96" s="59"/>
      <x:c r="RH96" s="59"/>
      <x:c r="RI96" s="59"/>
      <x:c r="RJ96" s="59"/>
      <x:c r="RK96" s="59"/>
      <x:c r="RL96" s="59"/>
      <x:c r="RM96" s="59"/>
      <x:c r="RN96" s="59"/>
      <x:c r="RO96" s="59"/>
      <x:c r="RP96" s="59"/>
      <x:c r="RQ96" s="59"/>
      <x:c r="RR96" s="59"/>
      <x:c r="RS96" s="59"/>
      <x:c r="RT96" s="59"/>
      <x:c r="RU96" s="59"/>
      <x:c r="RV96" s="59"/>
      <x:c r="RW96" s="59"/>
      <x:c r="RX96" s="59"/>
      <x:c r="RY96" s="59"/>
      <x:c r="RZ96" s="59"/>
      <x:c r="SA96" s="59"/>
      <x:c r="SB96" s="59"/>
      <x:c r="SC96" s="59"/>
      <x:c r="SD96" s="59"/>
      <x:c r="SE96" s="59"/>
      <x:c r="SF96" s="59"/>
    </x:row>
    <x:row r="97">
      <x:c r="A97" s="75" t="s">
        <x:v>171</x:v>
      </x:c>
      <x:c r="B97" s="75"/>
      <x:c r="C97" s="75"/>
      <x:c r="D97" s="75"/>
      <x:c r="E97" s="75"/>
      <x:c r="F97" s="75"/>
      <x:c r="G97" s="75"/>
      <x:c r="H97" s="75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  <x:c r="AA97" s="59"/>
      <x:c r="AB97" s="59"/>
      <x:c r="AC97" s="59"/>
      <x:c r="AD97" s="59"/>
      <x:c r="AE97" s="59"/>
      <x:c r="AF97" s="59"/>
      <x:c r="AG97" s="59"/>
      <x:c r="AH97" s="59"/>
      <x:c r="AI97" s="59"/>
      <x:c r="AJ97" s="59"/>
      <x:c r="AK97" s="59"/>
      <x:c r="AL97" s="59"/>
      <x:c r="AM97" s="59"/>
      <x:c r="AN97" s="59"/>
      <x:c r="AO97" s="59"/>
      <x:c r="AP97" s="59"/>
      <x:c r="AQ97" s="59"/>
      <x:c r="AR97" s="59"/>
      <x:c r="AS97" s="59"/>
      <x:c r="AT97" s="59"/>
      <x:c r="AU97" s="59"/>
      <x:c r="AV97" s="59"/>
      <x:c r="AW97" s="59"/>
      <x:c r="AX97" s="59"/>
      <x:c r="AY97" s="59"/>
      <x:c r="AZ97" s="59"/>
      <x:c r="BA97" s="59"/>
      <x:c r="BB97" s="59"/>
      <x:c r="BC97" s="59"/>
      <x:c r="BD97" s="59"/>
      <x:c r="BE97" s="59"/>
      <x:c r="BF97" s="59"/>
      <x:c r="BG97" s="59"/>
      <x:c r="BH97" s="59"/>
      <x:c r="BI97" s="59"/>
      <x:c r="BJ97" s="59"/>
      <x:c r="BK97" s="59"/>
      <x:c r="BL97" s="59"/>
      <x:c r="BM97" s="59"/>
      <x:c r="BN97" s="59"/>
      <x:c r="BO97" s="59"/>
      <x:c r="BP97" s="59"/>
      <x:c r="BQ97" s="59"/>
      <x:c r="BR97" s="59"/>
      <x:c r="BS97" s="59"/>
      <x:c r="BT97" s="59"/>
      <x:c r="BU97" s="59"/>
      <x:c r="BV97" s="59"/>
      <x:c r="BW97" s="59"/>
      <x:c r="BX97" s="59"/>
      <x:c r="BY97" s="59"/>
      <x:c r="BZ97" s="59"/>
      <x:c r="CA97" s="59"/>
      <x:c r="CB97" s="59"/>
      <x:c r="CC97" s="59"/>
      <x:c r="CD97" s="59"/>
      <x:c r="CE97" s="59"/>
      <x:c r="CF97" s="59"/>
      <x:c r="CG97" s="59"/>
      <x:c r="CH97" s="59"/>
      <x:c r="CI97" s="59"/>
      <x:c r="CJ97" s="59"/>
      <x:c r="CK97" s="59"/>
      <x:c r="CL97" s="59"/>
      <x:c r="CM97" s="59"/>
      <x:c r="CN97" s="59"/>
      <x:c r="CO97" s="59"/>
      <x:c r="CP97" s="59"/>
      <x:c r="CQ97" s="59"/>
      <x:c r="CR97" s="59"/>
      <x:c r="CS97" s="59"/>
      <x:c r="CT97" s="59"/>
      <x:c r="CU97" s="59"/>
      <x:c r="CV97" s="59"/>
      <x:c r="CW97" s="59"/>
      <x:c r="CX97" s="59"/>
      <x:c r="CY97" s="59"/>
      <x:c r="CZ97" s="59"/>
      <x:c r="DA97" s="59"/>
      <x:c r="DB97" s="59"/>
      <x:c r="DC97" s="59"/>
      <x:c r="DD97" s="59"/>
      <x:c r="DE97" s="59"/>
      <x:c r="DF97" s="59"/>
      <x:c r="DG97" s="59"/>
      <x:c r="DH97" s="59"/>
      <x:c r="DI97" s="59"/>
      <x:c r="DJ97" s="59"/>
      <x:c r="DK97" s="59"/>
      <x:c r="DL97" s="59"/>
      <x:c r="DM97" s="59"/>
      <x:c r="DN97" s="59"/>
      <x:c r="DO97" s="59"/>
      <x:c r="DP97" s="59"/>
      <x:c r="DQ97" s="59"/>
      <x:c r="DR97" s="59"/>
      <x:c r="DS97" s="59"/>
      <x:c r="DT97" s="59"/>
      <x:c r="DU97" s="59"/>
      <x:c r="DV97" s="59"/>
      <x:c r="DW97" s="59"/>
      <x:c r="DX97" s="59"/>
      <x:c r="DY97" s="59"/>
      <x:c r="DZ97" s="59"/>
      <x:c r="EA97" s="59"/>
      <x:c r="EB97" s="59"/>
      <x:c r="EC97" s="59"/>
      <x:c r="ED97" s="59"/>
      <x:c r="EE97" s="59"/>
      <x:c r="EF97" s="59"/>
      <x:c r="EG97" s="59"/>
      <x:c r="EH97" s="59"/>
      <x:c r="EI97" s="59"/>
      <x:c r="EJ97" s="59"/>
      <x:c r="EK97" s="59"/>
      <x:c r="EL97" s="59"/>
      <x:c r="EM97" s="59"/>
      <x:c r="EN97" s="59"/>
      <x:c r="EO97" s="59"/>
      <x:c r="EP97" s="59"/>
      <x:c r="EQ97" s="59"/>
      <x:c r="ER97" s="59"/>
      <x:c r="ES97" s="59"/>
      <x:c r="ET97" s="59"/>
      <x:c r="EU97" s="59"/>
      <x:c r="EV97" s="59"/>
      <x:c r="EW97" s="59"/>
      <x:c r="EX97" s="59"/>
      <x:c r="EY97" s="59"/>
      <x:c r="EZ97" s="59"/>
      <x:c r="FA97" s="59"/>
      <x:c r="FB97" s="59"/>
      <x:c r="FC97" s="59"/>
      <x:c r="FD97" s="59"/>
      <x:c r="FE97" s="59"/>
      <x:c r="FF97" s="59"/>
      <x:c r="FG97" s="59"/>
      <x:c r="FH97" s="59"/>
      <x:c r="FI97" s="59"/>
      <x:c r="FJ97" s="59"/>
      <x:c r="FK97" s="59"/>
      <x:c r="FL97" s="59"/>
      <x:c r="FM97" s="59"/>
      <x:c r="FN97" s="59"/>
      <x:c r="FO97" s="59"/>
      <x:c r="FP97" s="59"/>
      <x:c r="FQ97" s="59"/>
      <x:c r="FR97" s="59"/>
      <x:c r="FS97" s="59"/>
      <x:c r="FT97" s="59"/>
      <x:c r="FU97" s="59"/>
      <x:c r="FV97" s="59"/>
      <x:c r="FW97" s="59"/>
      <x:c r="FX97" s="59"/>
      <x:c r="FY97" s="59"/>
      <x:c r="FZ97" s="59"/>
      <x:c r="GA97" s="59"/>
      <x:c r="GB97" s="59"/>
      <x:c r="GC97" s="59"/>
      <x:c r="GD97" s="59"/>
      <x:c r="GE97" s="59"/>
      <x:c r="GF97" s="59"/>
      <x:c r="GG97" s="59"/>
      <x:c r="GH97" s="59"/>
      <x:c r="GI97" s="59"/>
      <x:c r="GJ97" s="59"/>
      <x:c r="GK97" s="59"/>
      <x:c r="GL97" s="59"/>
      <x:c r="GM97" s="59"/>
      <x:c r="GN97" s="59"/>
      <x:c r="GO97" s="59"/>
      <x:c r="GP97" s="59"/>
      <x:c r="GQ97" s="59"/>
      <x:c r="GR97" s="59"/>
      <x:c r="GS97" s="59"/>
      <x:c r="GT97" s="59"/>
      <x:c r="GU97" s="59"/>
      <x:c r="GV97" s="59"/>
      <x:c r="GW97" s="59"/>
      <x:c r="GX97" s="59"/>
      <x:c r="GY97" s="59"/>
      <x:c r="GZ97" s="59"/>
      <x:c r="HA97" s="59"/>
      <x:c r="HB97" s="59"/>
      <x:c r="HC97" s="59"/>
      <x:c r="HD97" s="59"/>
      <x:c r="HE97" s="59"/>
      <x:c r="HF97" s="59"/>
      <x:c r="HG97" s="59"/>
      <x:c r="HH97" s="59"/>
      <x:c r="HI97" s="59"/>
      <x:c r="HJ97" s="59"/>
      <x:c r="HK97" s="59"/>
      <x:c r="HL97" s="59"/>
      <x:c r="HM97" s="59"/>
      <x:c r="HN97" s="59"/>
      <x:c r="HO97" s="59"/>
      <x:c r="HP97" s="59"/>
      <x:c r="HQ97" s="59"/>
      <x:c r="HR97" s="59"/>
      <x:c r="HS97" s="59"/>
      <x:c r="HT97" s="59"/>
      <x:c r="HU97" s="59"/>
      <x:c r="HV97" s="59"/>
      <x:c r="HW97" s="59"/>
      <x:c r="HX97" s="59"/>
      <x:c r="HY97" s="59"/>
      <x:c r="HZ97" s="59"/>
      <x:c r="IA97" s="59"/>
      <x:c r="IB97" s="59"/>
      <x:c r="IC97" s="59"/>
      <x:c r="ID97" s="59"/>
      <x:c r="IE97" s="59"/>
      <x:c r="IF97" s="59"/>
      <x:c r="IG97" s="59"/>
      <x:c r="IH97" s="59"/>
      <x:c r="II97" s="59"/>
      <x:c r="IJ97" s="59"/>
      <x:c r="IK97" s="59"/>
      <x:c r="IL97" s="59"/>
      <x:c r="IM97" s="59"/>
      <x:c r="IN97" s="59"/>
      <x:c r="IO97" s="59"/>
      <x:c r="IP97" s="59"/>
      <x:c r="IQ97" s="59"/>
      <x:c r="IR97" s="59"/>
      <x:c r="IS97" s="59"/>
      <x:c r="IT97" s="59"/>
      <x:c r="IU97" s="59"/>
      <x:c r="IV97" s="59"/>
      <x:c r="IW97" s="59"/>
      <x:c r="IX97" s="59"/>
      <x:c r="IY97" s="59"/>
      <x:c r="IZ97" s="59"/>
      <x:c r="JA97" s="59"/>
      <x:c r="JB97" s="59"/>
      <x:c r="JC97" s="59"/>
      <x:c r="JD97" s="59"/>
      <x:c r="JE97" s="59"/>
      <x:c r="JF97" s="59"/>
      <x:c r="JG97" s="59"/>
      <x:c r="JH97" s="59"/>
      <x:c r="JI97" s="59"/>
      <x:c r="JJ97" s="59"/>
      <x:c r="JK97" s="59"/>
      <x:c r="JL97" s="59"/>
      <x:c r="JM97" s="59"/>
      <x:c r="JN97" s="59"/>
      <x:c r="JO97" s="59"/>
      <x:c r="JP97" s="59"/>
      <x:c r="JQ97" s="59"/>
      <x:c r="JR97" s="59"/>
      <x:c r="JS97" s="59"/>
      <x:c r="JT97" s="59"/>
      <x:c r="JU97" s="59"/>
      <x:c r="JV97" s="59"/>
      <x:c r="JW97" s="59"/>
      <x:c r="JX97" s="59"/>
      <x:c r="JY97" s="59"/>
      <x:c r="JZ97" s="59"/>
      <x:c r="KA97" s="59"/>
      <x:c r="KB97" s="59"/>
      <x:c r="KC97" s="59"/>
      <x:c r="KD97" s="59"/>
      <x:c r="KE97" s="59"/>
      <x:c r="KF97" s="59"/>
      <x:c r="KG97" s="59"/>
      <x:c r="KH97" s="59"/>
      <x:c r="KI97" s="59"/>
      <x:c r="KJ97" s="59"/>
      <x:c r="KK97" s="59"/>
      <x:c r="KL97" s="59"/>
      <x:c r="KM97" s="59"/>
      <x:c r="KN97" s="59"/>
      <x:c r="KO97" s="59"/>
      <x:c r="KP97" s="59"/>
      <x:c r="KQ97" s="59"/>
      <x:c r="KR97" s="59"/>
      <x:c r="KS97" s="59"/>
      <x:c r="KT97" s="59"/>
      <x:c r="KU97" s="59"/>
      <x:c r="KV97" s="59"/>
      <x:c r="KW97" s="59"/>
      <x:c r="KX97" s="59"/>
      <x:c r="KY97" s="59"/>
      <x:c r="KZ97" s="59"/>
      <x:c r="LA97" s="59"/>
      <x:c r="LB97" s="59"/>
      <x:c r="LC97" s="59"/>
      <x:c r="LD97" s="59"/>
      <x:c r="LE97" s="59"/>
      <x:c r="LF97" s="59"/>
      <x:c r="LG97" s="59"/>
      <x:c r="LH97" s="59"/>
      <x:c r="LI97" s="59"/>
      <x:c r="LJ97" s="59"/>
      <x:c r="LK97" s="59"/>
      <x:c r="LL97" s="59"/>
      <x:c r="LM97" s="59"/>
      <x:c r="LN97" s="59"/>
      <x:c r="LO97" s="59"/>
      <x:c r="LP97" s="59"/>
      <x:c r="LQ97" s="59"/>
      <x:c r="LR97" s="59"/>
      <x:c r="LS97" s="59"/>
      <x:c r="LT97" s="59"/>
      <x:c r="LU97" s="59"/>
      <x:c r="LV97" s="59"/>
      <x:c r="LW97" s="59"/>
      <x:c r="LX97" s="59"/>
      <x:c r="LY97" s="59"/>
      <x:c r="LZ97" s="59"/>
      <x:c r="MA97" s="59"/>
      <x:c r="MB97" s="59"/>
      <x:c r="MC97" s="59"/>
      <x:c r="MD97" s="59"/>
      <x:c r="ME97" s="59"/>
      <x:c r="MF97" s="59"/>
      <x:c r="MG97" s="59"/>
      <x:c r="MH97" s="59"/>
      <x:c r="MI97" s="59"/>
      <x:c r="MJ97" s="59"/>
      <x:c r="MK97" s="59"/>
      <x:c r="ML97" s="59"/>
      <x:c r="MM97" s="59"/>
      <x:c r="MN97" s="59"/>
      <x:c r="MO97" s="59"/>
      <x:c r="MP97" s="59"/>
      <x:c r="MQ97" s="59"/>
      <x:c r="MR97" s="59"/>
      <x:c r="MS97" s="59"/>
      <x:c r="MT97" s="59"/>
      <x:c r="MU97" s="59"/>
      <x:c r="MV97" s="59"/>
      <x:c r="MW97" s="59"/>
      <x:c r="MX97" s="59"/>
      <x:c r="MY97" s="59"/>
      <x:c r="MZ97" s="59"/>
      <x:c r="NA97" s="59"/>
      <x:c r="NB97" s="59"/>
      <x:c r="NC97" s="59"/>
      <x:c r="ND97" s="59"/>
      <x:c r="NE97" s="59"/>
      <x:c r="NF97" s="59"/>
      <x:c r="NG97" s="59"/>
      <x:c r="NH97" s="59"/>
      <x:c r="NI97" s="59"/>
      <x:c r="NJ97" s="59"/>
      <x:c r="NK97" s="59"/>
      <x:c r="NL97" s="59"/>
      <x:c r="NM97" s="59"/>
      <x:c r="NN97" s="59"/>
      <x:c r="NO97" s="59"/>
      <x:c r="NP97" s="59"/>
      <x:c r="NQ97" s="59"/>
      <x:c r="NR97" s="59"/>
      <x:c r="NS97" s="59"/>
      <x:c r="NT97" s="59"/>
      <x:c r="NU97" s="59"/>
      <x:c r="NV97" s="59"/>
      <x:c r="NW97" s="59"/>
      <x:c r="NX97" s="59"/>
      <x:c r="NY97" s="59"/>
      <x:c r="NZ97" s="59"/>
      <x:c r="OA97" s="59"/>
      <x:c r="OB97" s="59"/>
      <x:c r="OC97" s="59"/>
      <x:c r="OD97" s="59"/>
      <x:c r="OE97" s="59"/>
      <x:c r="OF97" s="59"/>
      <x:c r="OG97" s="59"/>
      <x:c r="OH97" s="59"/>
      <x:c r="OI97" s="59"/>
      <x:c r="OJ97" s="59"/>
      <x:c r="OK97" s="59"/>
      <x:c r="OL97" s="59"/>
      <x:c r="OM97" s="59"/>
      <x:c r="ON97" s="59"/>
      <x:c r="OO97" s="59"/>
      <x:c r="OP97" s="59"/>
      <x:c r="OQ97" s="59"/>
      <x:c r="OR97" s="59"/>
      <x:c r="OS97" s="59"/>
      <x:c r="OT97" s="59"/>
      <x:c r="OU97" s="59"/>
      <x:c r="OV97" s="59"/>
      <x:c r="OW97" s="59"/>
      <x:c r="OX97" s="59"/>
      <x:c r="OY97" s="59"/>
      <x:c r="OZ97" s="59"/>
      <x:c r="PA97" s="59"/>
      <x:c r="PB97" s="59"/>
      <x:c r="PC97" s="59"/>
      <x:c r="PD97" s="59"/>
      <x:c r="PE97" s="59"/>
      <x:c r="PF97" s="59"/>
      <x:c r="PG97" s="59"/>
      <x:c r="PH97" s="59"/>
      <x:c r="PI97" s="59"/>
      <x:c r="PJ97" s="59"/>
      <x:c r="PK97" s="59"/>
      <x:c r="PL97" s="59"/>
      <x:c r="PM97" s="59"/>
      <x:c r="PN97" s="59"/>
      <x:c r="PO97" s="59"/>
      <x:c r="PP97" s="59"/>
      <x:c r="PQ97" s="59"/>
      <x:c r="PR97" s="59"/>
      <x:c r="PS97" s="59"/>
      <x:c r="PT97" s="59"/>
      <x:c r="PU97" s="59"/>
      <x:c r="PV97" s="59"/>
      <x:c r="PW97" s="59"/>
      <x:c r="PX97" s="59"/>
      <x:c r="PY97" s="59"/>
      <x:c r="PZ97" s="59"/>
      <x:c r="QA97" s="59"/>
      <x:c r="QB97" s="59"/>
      <x:c r="QC97" s="59"/>
      <x:c r="QD97" s="59"/>
      <x:c r="QE97" s="59"/>
      <x:c r="QF97" s="59"/>
      <x:c r="QG97" s="59"/>
      <x:c r="QH97" s="59"/>
      <x:c r="QI97" s="59"/>
      <x:c r="QJ97" s="59"/>
      <x:c r="QK97" s="59"/>
      <x:c r="QL97" s="59"/>
      <x:c r="QM97" s="59"/>
      <x:c r="QN97" s="59"/>
      <x:c r="QO97" s="59"/>
      <x:c r="QP97" s="59"/>
      <x:c r="QQ97" s="59"/>
      <x:c r="QR97" s="59"/>
      <x:c r="QS97" s="59"/>
      <x:c r="QT97" s="59"/>
      <x:c r="QU97" s="59"/>
      <x:c r="QV97" s="59"/>
      <x:c r="QW97" s="59"/>
      <x:c r="QX97" s="59"/>
      <x:c r="QY97" s="59"/>
      <x:c r="QZ97" s="59"/>
      <x:c r="RA97" s="59"/>
      <x:c r="RB97" s="59"/>
      <x:c r="RC97" s="59"/>
      <x:c r="RD97" s="59"/>
      <x:c r="RE97" s="59"/>
      <x:c r="RF97" s="59"/>
      <x:c r="RG97" s="59"/>
      <x:c r="RH97" s="59"/>
      <x:c r="RI97" s="59"/>
      <x:c r="RJ97" s="59"/>
      <x:c r="RK97" s="59"/>
      <x:c r="RL97" s="59"/>
      <x:c r="RM97" s="59"/>
      <x:c r="RN97" s="59"/>
      <x:c r="RO97" s="59"/>
      <x:c r="RP97" s="59"/>
      <x:c r="RQ97" s="59"/>
      <x:c r="RR97" s="59"/>
      <x:c r="RS97" s="59"/>
      <x:c r="RT97" s="59"/>
      <x:c r="RU97" s="59"/>
      <x:c r="RV97" s="59"/>
      <x:c r="RW97" s="59"/>
      <x:c r="RX97" s="59"/>
      <x:c r="RY97" s="59"/>
      <x:c r="RZ97" s="59"/>
      <x:c r="SA97" s="59"/>
      <x:c r="SB97" s="59"/>
      <x:c r="SC97" s="59"/>
      <x:c r="SD97" s="59"/>
      <x:c r="SE97" s="59"/>
      <x:c r="SF97" s="59"/>
    </x:row>
  </x:sheetData>
  <x:mergeCells>
    <x:mergeCell ref="B96:H96"/>
    <x:mergeCell ref="A97:H97"/>
    <x:mergeCell ref="A89:H89"/>
    <x:mergeCell ref="A91:H91"/>
    <x:mergeCell ref="B92:H92"/>
    <x:mergeCell ref="B93:H93"/>
    <x:mergeCell ref="B94:H94"/>
    <x:mergeCell ref="B95:H95"/>
    <x:mergeCell ref="B83:E83"/>
    <x:mergeCell ref="F83:H83"/>
    <x:mergeCell ref="A85:H85"/>
    <x:mergeCell ref="A86:H86"/>
    <x:mergeCell ref="A87:H87"/>
    <x:mergeCell ref="A88:H88"/>
    <x:mergeCell ref="B80:E80"/>
    <x:mergeCell ref="F80:H80"/>
    <x:mergeCell ref="B81:E81"/>
    <x:mergeCell ref="F81:H81"/>
    <x:mergeCell ref="B82:E82"/>
    <x:mergeCell ref="F82:H82"/>
    <x:mergeCell ref="B77:E77"/>
    <x:mergeCell ref="F77:H77"/>
    <x:mergeCell ref="B78:E78"/>
    <x:mergeCell ref="F78:H78"/>
    <x:mergeCell ref="B79:E79"/>
    <x:mergeCell ref="F79:H79"/>
    <x:mergeCell ref="B73:C73"/>
    <x:mergeCell ref="D73:E73"/>
    <x:mergeCell ref="F73:H73"/>
    <x:mergeCell ref="A75:H75"/>
    <x:mergeCell ref="B76:E76"/>
    <x:mergeCell ref="F76:H76"/>
    <x:mergeCell ref="B71:C71"/>
    <x:mergeCell ref="D71:E71"/>
    <x:mergeCell ref="F71:H71"/>
    <x:mergeCell ref="B72:C72"/>
    <x:mergeCell ref="D72:E72"/>
    <x:mergeCell ref="F72:H72"/>
    <x:mergeCell ref="B69:C69"/>
    <x:mergeCell ref="D69:E69"/>
    <x:mergeCell ref="F69:H69"/>
    <x:mergeCell ref="B70:C70"/>
    <x:mergeCell ref="D70:E70"/>
    <x:mergeCell ref="F70:H70"/>
    <x:mergeCell ref="B65:C65"/>
    <x:mergeCell ref="D65:F65"/>
    <x:mergeCell ref="G65:H65"/>
    <x:mergeCell ref="A67:H67"/>
    <x:mergeCell ref="B68:C68"/>
    <x:mergeCell ref="D68:E68"/>
    <x:mergeCell ref="F68:H68"/>
    <x:mergeCell ref="B63:C63"/>
    <x:mergeCell ref="D63:F63"/>
    <x:mergeCell ref="G63:H63"/>
    <x:mergeCell ref="B64:C64"/>
    <x:mergeCell ref="D64:F64"/>
    <x:mergeCell ref="G64:H64"/>
    <x:mergeCell ref="B61:C61"/>
    <x:mergeCell ref="D61:F61"/>
    <x:mergeCell ref="G61:H61"/>
    <x:mergeCell ref="B62:C62"/>
    <x:mergeCell ref="D62:F62"/>
    <x:mergeCell ref="G62:H62"/>
    <x:mergeCell ref="B59:C59"/>
    <x:mergeCell ref="D59:F59"/>
    <x:mergeCell ref="G59:H59"/>
    <x:mergeCell ref="B60:C60"/>
    <x:mergeCell ref="D60:F60"/>
    <x:mergeCell ref="G60:H60"/>
    <x:mergeCell ref="B57:C57"/>
    <x:mergeCell ref="D57:F57"/>
    <x:mergeCell ref="G57:H57"/>
    <x:mergeCell ref="B58:C58"/>
    <x:mergeCell ref="D58:F58"/>
    <x:mergeCell ref="G58:H58"/>
    <x:mergeCell ref="B55:C55"/>
    <x:mergeCell ref="D55:F55"/>
    <x:mergeCell ref="G55:H55"/>
    <x:mergeCell ref="B56:C56"/>
    <x:mergeCell ref="D56:F56"/>
    <x:mergeCell ref="G56:H56"/>
    <x:mergeCell ref="B53:C53"/>
    <x:mergeCell ref="D53:F53"/>
    <x:mergeCell ref="G53:H53"/>
    <x:mergeCell ref="B54:C54"/>
    <x:mergeCell ref="D54:F54"/>
    <x:mergeCell ref="G54:H54"/>
    <x:mergeCell ref="B47:C47"/>
    <x:mergeCell ref="D47:F47"/>
    <x:mergeCell ref="G47:H47"/>
    <x:mergeCell ref="A49:H49"/>
    <x:mergeCell ref="A50:H51"/>
    <x:mergeCell ref="B52:C52"/>
    <x:mergeCell ref="D52:F52"/>
    <x:mergeCell ref="G52:H52"/>
    <x:mergeCell ref="B45:C45"/>
    <x:mergeCell ref="D45:F45"/>
    <x:mergeCell ref="G45:H45"/>
    <x:mergeCell ref="B46:C46"/>
    <x:mergeCell ref="D46:F46"/>
    <x:mergeCell ref="G46:H46"/>
    <x:mergeCell ref="B43:C43"/>
    <x:mergeCell ref="D43:F43"/>
    <x:mergeCell ref="G43:H43"/>
    <x:mergeCell ref="B44:C44"/>
    <x:mergeCell ref="D44:F44"/>
    <x:mergeCell ref="G44:H44"/>
    <x:mergeCell ref="B41:C41"/>
    <x:mergeCell ref="D41:F41"/>
    <x:mergeCell ref="G41:H41"/>
    <x:mergeCell ref="B42:C42"/>
    <x:mergeCell ref="D42:F42"/>
    <x:mergeCell ref="G42:H42"/>
    <x:mergeCell ref="B39:C39"/>
    <x:mergeCell ref="D39:F39"/>
    <x:mergeCell ref="G39:H39"/>
    <x:mergeCell ref="B40:C40"/>
    <x:mergeCell ref="D40:F40"/>
    <x:mergeCell ref="G40:H40"/>
    <x:mergeCell ref="B37:C37"/>
    <x:mergeCell ref="D37:F37"/>
    <x:mergeCell ref="G37:H37"/>
    <x:mergeCell ref="B38:C38"/>
    <x:mergeCell ref="D38:F38"/>
    <x:mergeCell ref="G38:H38"/>
    <x:mergeCell ref="B35:C35"/>
    <x:mergeCell ref="D35:F35"/>
    <x:mergeCell ref="G35:H35"/>
    <x:mergeCell ref="B36:C36"/>
    <x:mergeCell ref="D36:F36"/>
    <x:mergeCell ref="G36:H36"/>
    <x:mergeCell ref="B33:C33"/>
    <x:mergeCell ref="D33:F33"/>
    <x:mergeCell ref="G33:H33"/>
    <x:mergeCell ref="B34:C34"/>
    <x:mergeCell ref="D34:F34"/>
    <x:mergeCell ref="G34:H34"/>
    <x:mergeCell ref="A30:H30"/>
    <x:mergeCell ref="B31:C31"/>
    <x:mergeCell ref="D31:F31"/>
    <x:mergeCell ref="G31:H31"/>
    <x:mergeCell ref="B32:C32"/>
    <x:mergeCell ref="D32:F32"/>
    <x:mergeCell ref="G32:H32"/>
    <x:mergeCell ref="B27:C27"/>
    <x:mergeCell ref="D27:E27"/>
    <x:mergeCell ref="F27:H27"/>
    <x:mergeCell ref="B28:C28"/>
    <x:mergeCell ref="D28:E28"/>
    <x:mergeCell ref="F28:H28"/>
    <x:mergeCell ref="B25:C25"/>
    <x:mergeCell ref="D25:E25"/>
    <x:mergeCell ref="F25:H25"/>
    <x:mergeCell ref="B26:C26"/>
    <x:mergeCell ref="D26:E26"/>
    <x:mergeCell ref="F26:H26"/>
    <x:mergeCell ref="A3:E3"/>
    <x:mergeCell ref="A22:H22"/>
    <x:mergeCell ref="B23:C23"/>
    <x:mergeCell ref="D23:E23"/>
    <x:mergeCell ref="F23:H23"/>
    <x:mergeCell ref="B24:C24"/>
    <x:mergeCell ref="D24:E24"/>
    <x:mergeCell ref="F24:H24"/>
    <x:mergeCell ref="A15:C15"/>
    <x:mergeCell ref="A16:C16"/>
    <x:mergeCell ref="A17:C17"/>
    <x:mergeCell ref="A18:C18"/>
    <x:mergeCell ref="A19:C19"/>
    <x:mergeCell ref="A20:C20"/>
  </x:mergeCells>
  <x:pageMargins left="0.7" right="0.7" top="0.75" bottom="0.75" header="0.3" footer="0.3"/>
  <x:tableParts count="2">
    <x:tablePart xmlns:r="http://schemas.openxmlformats.org/officeDocument/2006/relationships" r:id="R2b038062bcf145a0"/>
    <x:tablePart xmlns:r="http://schemas.openxmlformats.org/officeDocument/2006/relationships" r:id="R24bd128ada574cd0"/>
  </x:tableParts>
</x:worksheet>
</file>

<file path=xl/worksheets/sheet2.xml><?xml version="1.0" encoding="utf-8"?>
<x:worksheet xmlns:x="http://schemas.openxmlformats.org/spreadsheetml/2006/main">
  <x:sheetFormatPr defaultRowHeight="15"/>
  <x:cols>
    <x:col min="33" max="33" width="11.42578125" customWidth="1"/>
    <x:col min="41" max="41" width="22" customWidth="1"/>
    <x:col min="42" max="42" width="13.28515625" customWidth="1"/>
  </x:cols>
  <x:sheetData>
    <x:row r="2">
      <x:c r="AG2" s="1"/>
    </x:row>
    <x:row r="10">
      <x:c r="AB10" s="2"/>
      <x:c r="AD10" s="6"/>
    </x:row>
    <x:row r="11">
      <x:c r="AB11" s="2"/>
    </x:row>
    <x:row r="12">
      <x:c r="AB12" s="2"/>
    </x:row>
    <x:row r="13">
      <x:c r="AB13" s="2"/>
    </x:row>
    <x:row r="14">
      <x:c r="AB14" s="2"/>
    </x:row>
    <x:row r="80">
      <x:c r="AP80" s="3"/>
    </x:row>
    <x:row r="81">
      <x:c r="AP81" s="15"/>
    </x:row>
  </x:sheetData>
  <x:pageMargins left="0.7" right="0.7" top="0.75" bottom="0.75" header="0.3" footer="0.3"/>
  <x:drawing xmlns:r="http://schemas.openxmlformats.org/officeDocument/2006/relationships" r:id="R9ad06a3e5d3b44de"/>
</x:worksheet>
</file>

<file path=xl/worksheets/sheet3.xml><?xml version="1.0" encoding="utf-8"?>
<x:worksheet xmlns:x="http://schemas.openxmlformats.org/spreadsheetml/2006/main">
  <x:sheetFormatPr defaultRowHeight="15"/>
  <x:cols>
    <x:col min="1" max="1" width="12.140625" style="24" customWidth="1"/>
    <x:col min="2" max="2" width="9.5703125" style="28" customWidth="1"/>
    <x:col min="3" max="3" width="14.85546875" style="24" customWidth="1"/>
    <x:col min="4" max="5" width="9.42578125" style="31" customWidth="1"/>
    <x:col min="6" max="6" width="9.42578125" customWidth="1"/>
    <x:col min="7" max="8" width="9.42578125" style="31" customWidth="1"/>
    <x:col min="9" max="9" width="9.42578125" customWidth="1"/>
    <x:col min="10" max="10" width="14" style="24" customWidth="1"/>
    <x:col min="11" max="11" width="15.140625" style="24" customWidth="1"/>
    <x:col min="12" max="12" width="16.5703125" style="35" customWidth="1"/>
    <x:col min="13" max="13" width="9.140625" style="6" customWidth="0"/>
    <x:col min="28" max="28" width="8.140625" customWidth="1"/>
    <x:col min="29" max="29" width="0" hidden="1" customWidth="1"/>
    <x:col min="30" max="30" width="15.28515625" customWidth="1"/>
    <x:col min="31" max="31" width="19.42578125" customWidth="1"/>
  </x:cols>
  <x:sheetData>
    <x:row r="1" ht="28.5" customHeight="1">
      <x:c r="A1" s="25" t="str">
        <x:v>Employee</x:v>
      </x:c>
      <x:c r="B1" s="27" t="str">
        <x:v>Month</x:v>
      </x:c>
      <x:c r="C1" s="25" t="str">
        <x:v>LookupKey</x:v>
      </x:c>
      <x:c r="D1" s="30" t="str">
        <x:v>Core Product Goal</x:v>
      </x:c>
      <x:c r="E1" s="30" t="str">
        <x:v>Core Product Completed</x:v>
      </x:c>
      <x:c r="F1" s="12" t="str">
        <x:v>Core Product Goal %</x:v>
      </x:c>
      <x:c r="G1" s="30" t="str">
        <x:v>Secondary Product Goal</x:v>
      </x:c>
      <x:c r="H1" s="30" t="str">
        <x:v>Secondary Product Completed</x:v>
      </x:c>
      <x:c r="I1" s="10" t="str">
        <x:v>Secondary Product Goal %</x:v>
      </x:c>
      <x:c r="J1" s="25" t="str">
        <x:v>Quality Rate %</x:v>
      </x:c>
      <x:c r="K1" s="25" t="str">
        <x:v>Retention %</x:v>
      </x:c>
      <x:c r="L1" s="33" t="str">
        <x:v>Follow-Up Rate %</x:v>
      </x:c>
      <x:c r="M1" s="4" t="str">
        <x:v>Weighted Performance Score</x:v>
      </x:c>
    </x:row>
    <x:row r="2" ht="21" customHeight="1">
      <x:c r="A2" t="str">
        <x:v>Jordan Ellis</x:v>
      </x:c>
      <x:c r="B2" s="199" t="n">
        <x:v>46023</x:v>
      </x:c>
      <x:c r="C2" s="24" t="str">
        <x:f>IF(OR(A2="",B2=""),"",A2&amp;TEXT(B2,"yyyymm"))</x:f>
        <x:v>Jordan Ellis202601</x:v>
      </x:c>
      <x:c r="D2" s="31" t="n">
        <x:v>10</x:v>
      </x:c>
      <x:c r="E2" t="n">
        <x:v>6</x:v>
      </x:c>
      <x:c r="F2" s="203" t="n">
        <x:f>IF(OR(D2="",E2=""),"",E2/D2)</x:f>
        <x:v>0.6</x:v>
      </x:c>
      <x:c r="G2" s="31" t="n">
        <x:v>3</x:v>
      </x:c>
      <x:c r="H2" t="n">
        <x:v>2</x:v>
      </x:c>
      <x:c r="I2" s="203" t="n">
        <x:f>IF(OR(G2="",H2=""),"",H2/G2)</x:f>
        <x:v>0.6666666666666666</x:v>
      </x:c>
      <x:c r="J2" s="203" t="n">
        <x:v>0.7</x:v>
      </x:c>
      <x:c r="K2" s="203" t="n">
        <x:v>0.83</x:v>
      </x:c>
      <x:c r="L2" s="203" t="n">
        <x:v>0.72</x:v>
      </x:c>
      <x:c r="M2" s="203" t="n">
        <x:f>IF(OR(F2="",I2="",J2=""),"",F2*45%+J2*35%+I2*20%)</x:f>
        <x:v>0.6483333333333333</x:v>
      </x:c>
      <x:c r="P2" t="s">
        <x:v>172</x:v>
      </x:c>
      <x:c r="AD2" s="10"/>
      <x:c r="AE2" s="11"/>
    </x:row>
    <x:row r="3" ht="21" customHeight="1">
      <x:c r="A3" t="str">
        <x:v>Jordan Ellis</x:v>
      </x:c>
      <x:c r="B3" s="199" t="n">
        <x:v>46054</x:v>
      </x:c>
      <x:c r="C3" s="24" t="str">
        <x:f>IF(OR(A3="",B3=""),"",A3&amp;TEXT(B3,"yyyymm"))</x:f>
        <x:v>Jordan Ellis202602</x:v>
      </x:c>
      <x:c r="D3" s="31" t="n">
        <x:v>10</x:v>
      </x:c>
      <x:c r="E3" t="n">
        <x:v>7</x:v>
      </x:c>
      <x:c r="F3" s="203" t="n">
        <x:f>IF(OR(D3="",E3=""),"",E3/D3)</x:f>
        <x:v>0.7</x:v>
      </x:c>
      <x:c r="G3" s="31" t="n">
        <x:v>3</x:v>
      </x:c>
      <x:c r="H3" t="n">
        <x:v>2</x:v>
      </x:c>
      <x:c r="I3" s="203" t="n">
        <x:f>IF(OR(G3="",H3=""),"",H3/G3)</x:f>
        <x:v>0.6666666666666666</x:v>
      </x:c>
      <x:c r="J3" s="203" t="n">
        <x:v>0.73</x:v>
      </x:c>
      <x:c r="K3" s="203" t="n">
        <x:v>0.84</x:v>
      </x:c>
      <x:c r="L3" s="203" t="n">
        <x:v>0.76</x:v>
      </x:c>
      <x:c r="M3" s="203" t="n">
        <x:f>IF(OR(F3="",I3="",J3=""),"",F3*45%+J3*35%+I3*20%)</x:f>
        <x:v>0.7038333333333333</x:v>
      </x:c>
      <x:c r="P3" t="str">
        <x:f>"Employee Since"&amp;CHAR(10)&amp;TEXT(Portfolio!C2,"mmmm yyyy")</x:f>
        <x:v>Employee Since
</x:v>
      </x:c>
      <x:c r="AD3" s="10"/>
      <x:c r="AE3" s="11"/>
    </x:row>
    <x:row r="4" ht="20.25" customHeight="1">
      <x:c r="A4" t="str">
        <x:v>Jordan Ellis</x:v>
      </x:c>
      <x:c r="B4" s="199" t="n">
        <x:v>46082</x:v>
      </x:c>
      <x:c r="C4" s="24" t="str">
        <x:f>IF(OR(A4="",B4=""),"",A4&amp;TEXT(B4,"yyyymm"))</x:f>
        <x:v>Jordan Ellis202603</x:v>
      </x:c>
      <x:c r="D4" s="31" t="n">
        <x:v>10</x:v>
      </x:c>
      <x:c r="E4" t="n">
        <x:v>7</x:v>
      </x:c>
      <x:c r="F4" s="203" t="n">
        <x:f>IF(OR(D4="",E4=""),"",E4/D4)</x:f>
        <x:v>0.7</x:v>
      </x:c>
      <x:c r="G4" s="31" t="n">
        <x:v>3</x:v>
      </x:c>
      <x:c r="H4" t="n">
        <x:v>2</x:v>
      </x:c>
      <x:c r="I4" s="203" t="n">
        <x:f>IF(OR(G4="",H4=""),"",H4/G4)</x:f>
        <x:v>0.6666666666666666</x:v>
      </x:c>
      <x:c r="J4" s="203" t="n">
        <x:v>0.76</x:v>
      </x:c>
      <x:c r="K4" s="203" t="n">
        <x:v>0.86</x:v>
      </x:c>
      <x:c r="L4" s="203" t="n">
        <x:v>0.79</x:v>
      </x:c>
      <x:c r="M4" s="203" t="n">
        <x:f>IF(OR(F4="",I4="",J4=""),"",F4*45%+J4*35%+I4*20%)</x:f>
        <x:v>0.7143333333333333</x:v>
      </x:c>
      <x:c r="AD4" s="10"/>
      <x:c r="AE4" s="11"/>
    </x:row>
    <x:row r="5" ht="21" customHeight="1">
      <x:c r="A5" t="str">
        <x:v>Jordan Ellis</x:v>
      </x:c>
      <x:c r="B5" s="199" t="n">
        <x:v>46113</x:v>
      </x:c>
      <x:c r="C5" s="24" t="str">
        <x:f>IF(OR(A5="",B5=""),"",A5&amp;TEXT(B5,"yyyymm"))</x:f>
        <x:v>Jordan Ellis202604</x:v>
      </x:c>
      <x:c r="D5" s="31" t="n">
        <x:v>10</x:v>
      </x:c>
      <x:c r="E5" t="n">
        <x:v>8</x:v>
      </x:c>
      <x:c r="F5" s="203" t="n">
        <x:f>IF(OR(D5="",E5=""),"",E5/D5)</x:f>
        <x:v>0.8</x:v>
      </x:c>
      <x:c r="G5" s="31" t="n">
        <x:v>3</x:v>
      </x:c>
      <x:c r="H5" t="n">
        <x:v>2</x:v>
      </x:c>
      <x:c r="I5" s="203" t="n">
        <x:f>IF(OR(G5="",H5=""),"",H5/G5)</x:f>
        <x:v>0.6666666666666666</x:v>
      </x:c>
      <x:c r="J5" s="203" t="n">
        <x:v>0.78</x:v>
      </x:c>
      <x:c r="K5" s="203" t="n">
        <x:v>0.87</x:v>
      </x:c>
      <x:c r="L5" s="203" t="n">
        <x:v>0.82</x:v>
      </x:c>
      <x:c r="M5" s="203" t="n">
        <x:f>IF(OR(F5="",I5="",J5=""),"",F5*45%+J5*35%+I5*20%)</x:f>
        <x:v>0.7663333333333333</x:v>
      </x:c>
      <x:c r="AD5" s="10"/>
      <x:c r="AE5" s="11"/>
    </x:row>
    <x:row r="6" ht="19.5" customHeight="1">
      <x:c r="A6" t="str">
        <x:v>Jordan Ellis</x:v>
      </x:c>
      <x:c r="B6" s="199" t="n">
        <x:v>46143</x:v>
      </x:c>
      <x:c r="C6" s="24" t="str">
        <x:f>IF(OR(A6="",B6=""),"",A6&amp;TEXT(B6,"yyyymm"))</x:f>
        <x:v>Jordan Ellis202605</x:v>
      </x:c>
      <x:c r="D6" s="31" t="n">
        <x:v>10</x:v>
      </x:c>
      <x:c r="E6" t="n">
        <x:v>8</x:v>
      </x:c>
      <x:c r="F6" s="203" t="n">
        <x:f>IF(OR(D6="",E6=""),"",E6/D6)</x:f>
        <x:v>0.8</x:v>
      </x:c>
      <x:c r="G6" s="31" t="n">
        <x:v>3</x:v>
      </x:c>
      <x:c r="H6" t="n">
        <x:v>3</x:v>
      </x:c>
      <x:c r="I6" s="203" t="n">
        <x:f>IF(OR(G6="",H6=""),"",H6/G6)</x:f>
        <x:v>1</x:v>
      </x:c>
      <x:c r="J6" s="203" t="n">
        <x:v>0.81</x:v>
      </x:c>
      <x:c r="K6" s="203" t="n">
        <x:v>0.88</x:v>
      </x:c>
      <x:c r="L6" s="203" t="n">
        <x:v>0.85</x:v>
      </x:c>
      <x:c r="M6" s="203" t="n">
        <x:f>IF(OR(F6="",I6="",J6=""),"",F6*45%+J6*35%+I6*20%)</x:f>
        <x:v>0.8434999999999999</x:v>
      </x:c>
      <x:c r="AD6" s="10"/>
      <x:c r="AE6" s="11"/>
    </x:row>
    <x:row r="7">
      <x:c r="A7" t="str">
        <x:v>Jordan Ellis</x:v>
      </x:c>
      <x:c r="B7" s="199" t="n">
        <x:v>46174</x:v>
      </x:c>
      <x:c r="C7" s="24" t="str">
        <x:f>IF(OR(A7="",B7=""),"",A7&amp;TEXT(B7,"yyyymm"))</x:f>
        <x:v>Jordan Ellis202606</x:v>
      </x:c>
      <x:c r="D7" s="31" t="n">
        <x:v>10</x:v>
      </x:c>
      <x:c r="E7" t="n">
        <x:v>9</x:v>
      </x:c>
      <x:c r="F7" s="203" t="n">
        <x:f>IF(OR(D7="",E7=""),"",E7/D7)</x:f>
        <x:v>0.9</x:v>
      </x:c>
      <x:c r="G7" s="31" t="n">
        <x:v>3</x:v>
      </x:c>
      <x:c r="H7" t="n">
        <x:v>2</x:v>
      </x:c>
      <x:c r="I7" s="203" t="n">
        <x:f>IF(OR(G7="",H7=""),"",H7/G7)</x:f>
        <x:v>0.6666666666666666</x:v>
      </x:c>
      <x:c r="J7" s="203" t="n">
        <x:v>0.79</x:v>
      </x:c>
      <x:c r="K7" s="203" t="n">
        <x:v>0.86</x:v>
      </x:c>
      <x:c r="L7" s="203" t="n">
        <x:v>0.8</x:v>
      </x:c>
      <x:c r="M7" s="203" t="n">
        <x:f>IF(OR(F7="",I7="",J7=""),"",F7*45%+J7*35%+I7*20%)</x:f>
        <x:v>0.8148333333333333</x:v>
      </x:c>
    </x:row>
    <x:row r="8">
      <x:c r="A8" t="str">
        <x:v>Jordan Ellis</x:v>
      </x:c>
      <x:c r="B8" s="199" t="n">
        <x:v>46204</x:v>
      </x:c>
      <x:c r="C8" s="24" t="str">
        <x:f>IF(OR(A8="",B8=""),"",A8&amp;TEXT(B8,"yyyymm"))</x:f>
        <x:v>Jordan Ellis202607</x:v>
      </x:c>
      <x:c r="D8" s="31" t="n">
        <x:v>10</x:v>
      </x:c>
      <x:c r="E8" t="n">
        <x:v>8</x:v>
      </x:c>
      <x:c r="F8" s="203" t="n">
        <x:f>IF(OR(D8="",E8=""),"",E8/D8)</x:f>
        <x:v>0.8</x:v>
      </x:c>
      <x:c r="G8" s="31" t="n">
        <x:v>3</x:v>
      </x:c>
      <x:c r="H8" t="n">
        <x:v>3</x:v>
      </x:c>
      <x:c r="I8" s="203" t="n">
        <x:f>IF(OR(G8="",H8=""),"",H8/G8)</x:f>
        <x:v>1</x:v>
      </x:c>
      <x:c r="J8" s="203" t="n">
        <x:v>0.84</x:v>
      </x:c>
      <x:c r="K8" s="203" t="n">
        <x:v>0.89</x:v>
      </x:c>
      <x:c r="L8" s="203" t="n">
        <x:v>0.88</x:v>
      </x:c>
      <x:c r="M8" s="203" t="n">
        <x:f>IF(OR(F8="",I8="",J8=""),"",F8*45%+J8*35%+I8*20%)</x:f>
        <x:v>0.8540000000000001</x:v>
      </x:c>
    </x:row>
    <x:row r="9">
      <x:c r="A9" t="str">
        <x:v>Jordan Ellis</x:v>
      </x:c>
      <x:c r="B9" s="199" t="n">
        <x:v>46235</x:v>
      </x:c>
      <x:c r="C9" s="24" t="str">
        <x:f>IF(OR(A9="",B9=""),"",A9&amp;TEXT(B9,"yyyymm"))</x:f>
        <x:v>Jordan Ellis202608</x:v>
      </x:c>
      <x:c r="D9" s="31" t="n">
        <x:v>10</x:v>
      </x:c>
      <x:c r="E9" t="n">
        <x:v>9</x:v>
      </x:c>
      <x:c r="F9" s="203" t="n">
        <x:f>IF(OR(D9="",E9=""),"",E9/D9)</x:f>
        <x:v>0.9</x:v>
      </x:c>
      <x:c r="G9" s="31" t="n">
        <x:v>3</x:v>
      </x:c>
      <x:c r="H9" t="n">
        <x:v>3</x:v>
      </x:c>
      <x:c r="I9" s="203" t="n">
        <x:f>IF(OR(G9="",H9=""),"",H9/G9)</x:f>
        <x:v>1</x:v>
      </x:c>
      <x:c r="J9" s="203" t="n">
        <x:v>0.86</x:v>
      </x:c>
      <x:c r="K9" s="203" t="n">
        <x:v>0.9</x:v>
      </x:c>
      <x:c r="L9" s="203" t="n">
        <x:v>0.9</x:v>
      </x:c>
      <x:c r="M9" s="203" t="n">
        <x:f>IF(OR(F9="",I9="",J9=""),"",F9*45%+J9*35%+I9*20%)</x:f>
        <x:v>0.9059999999999999</x:v>
      </x:c>
    </x:row>
    <x:row r="10">
      <x:c r="A10" t="str">
        <x:v>Jordan Ellis</x:v>
      </x:c>
      <x:c r="B10" s="199" t="n">
        <x:v>46266</x:v>
      </x:c>
      <x:c r="C10" s="24" t="str">
        <x:f>IF(OR(A10="",B10=""),"",A10&amp;TEXT(B10,"yyyymm"))</x:f>
        <x:v>Jordan Ellis202609</x:v>
      </x:c>
      <x:c r="D10" s="31" t="n">
        <x:v>10</x:v>
      </x:c>
      <x:c r="E10" t="n">
        <x:v>10</x:v>
      </x:c>
      <x:c r="F10" s="203" t="n">
        <x:f>IF(OR(D10="",E10=""),"",E10/D10)</x:f>
        <x:v>1</x:v>
      </x:c>
      <x:c r="G10" s="31" t="n">
        <x:v>3</x:v>
      </x:c>
      <x:c r="H10" t="n">
        <x:v>3</x:v>
      </x:c>
      <x:c r="I10" s="203" t="n">
        <x:f>IF(OR(G10="",H10=""),"",H10/G10)</x:f>
        <x:v>1</x:v>
      </x:c>
      <x:c r="J10" s="203" t="n">
        <x:v>0.88</x:v>
      </x:c>
      <x:c r="K10" s="203" t="n">
        <x:v>0.91</x:v>
      </x:c>
      <x:c r="L10" s="203" t="n">
        <x:v>0.92</x:v>
      </x:c>
      <x:c r="M10" s="203" t="n">
        <x:f>IF(OR(F10="",I10="",J10=""),"",F10*45%+J10*35%+I10*20%)</x:f>
        <x:v>0.958</x:v>
      </x:c>
      <x:c r="AG10" s="6" t="n" cm="1">
        <x:f t="array" ref="AG10">LOOKUP(2,1/(tblPerformance[Portfolio Score]&lt;&gt;""),tblPerformance[Portfolio Score])</x:f>
        <x:v>0.6483333333333333</x:v>
      </x:c>
    </x:row>
    <x:row r="11">
      <x:c r="A11" t="str">
        <x:v>Jordan Ellis</x:v>
      </x:c>
      <x:c r="B11" s="199" t="n">
        <x:v>46296</x:v>
      </x:c>
      <x:c r="C11" s="24" t="str">
        <x:f>IF(OR(A11="",B11=""),"",A11&amp;TEXT(B11,"yyyymm"))</x:f>
        <x:v>Jordan Ellis202610</x:v>
      </x:c>
      <x:c r="D11" s="31" t="n">
        <x:v>10</x:v>
      </x:c>
      <x:c r="E11" t="n">
        <x:v>9</x:v>
      </x:c>
      <x:c r="F11" s="203" t="n">
        <x:f>IF(OR(D11="",E11=""),"",E11/D11)</x:f>
        <x:v>0.9</x:v>
      </x:c>
      <x:c r="G11" s="31" t="n">
        <x:v>3</x:v>
      </x:c>
      <x:c r="H11" t="n">
        <x:v>2</x:v>
      </x:c>
      <x:c r="I11" s="203" t="n">
        <x:f>IF(OR(G11="",H11=""),"",H11/G11)</x:f>
        <x:v>0.6666666666666666</x:v>
      </x:c>
      <x:c r="J11" s="203" t="n">
        <x:v>0.87</x:v>
      </x:c>
      <x:c r="K11" s="203" t="n">
        <x:v>0.91</x:v>
      </x:c>
      <x:c r="L11" s="203" t="n">
        <x:v>0.89</x:v>
      </x:c>
      <x:c r="M11" s="203" t="n">
        <x:f>IF(OR(F11="",I11="",J11=""),"",F11*45%+J11*35%+I11*20%)</x:f>
        <x:v>0.8428333333333333</x:v>
      </x:c>
      <x:c r="AG11" s="6" t="n" cm="1">
        <x:f t="array" ref="AG11">LOOKUP(2,1/(tblPerformance[Qualifying %]&lt;&gt;""),tblPerformance[Qualifying %])</x:f>
        <x:v>0.7</x:v>
      </x:c>
    </x:row>
    <x:row r="12">
      <x:c r="A12" t="str">
        <x:v>Jordan Ellis</x:v>
      </x:c>
      <x:c r="B12" s="199" t="n">
        <x:v>46327</x:v>
      </x:c>
      <x:c r="C12" s="24" t="str">
        <x:f>IF(OR(A12="",B12=""),"",A12&amp;TEXT(B12,"yyyymm"))</x:f>
        <x:v>Jordan Ellis202611</x:v>
      </x:c>
      <x:c r="D12" s="31" t="n">
        <x:v>10</x:v>
      </x:c>
      <x:c r="E12" t="n">
        <x:v>10</x:v>
      </x:c>
      <x:c r="F12" s="203" t="n">
        <x:f>IF(OR(D12="",E12=""),"",E12/D12)</x:f>
        <x:v>1</x:v>
      </x:c>
      <x:c r="G12" s="31" t="n">
        <x:v>3</x:v>
      </x:c>
      <x:c r="H12" t="n">
        <x:v>3</x:v>
      </x:c>
      <x:c r="I12" s="203" t="n">
        <x:f>IF(OR(G12="",H12=""),"",H12/G12)</x:f>
        <x:v>1</x:v>
      </x:c>
      <x:c r="J12" s="203" t="n">
        <x:v>0.91</x:v>
      </x:c>
      <x:c r="K12" s="203" t="n">
        <x:v>0.93</x:v>
      </x:c>
      <x:c r="L12" s="203" t="n">
        <x:v>0.95</x:v>
      </x:c>
      <x:c r="M12" s="203" t="n">
        <x:f>IF(OR(F12="",I12="",J12=""),"",F12*45%+J12*35%+I12*20%)</x:f>
        <x:v>0.9684999999999999</x:v>
      </x:c>
      <x:c r="AG12" s="6" t="n" cm="1">
        <x:f t="array" ref="AG12">LOOKUP(2,1/(tblPerformance[Still Open %]&lt;&gt;""),tblPerformance[Still Open %])</x:f>
        <x:v>0.83</x:v>
      </x:c>
    </x:row>
    <x:row r="13">
      <x:c r="A13" t="str">
        <x:v>Jordan Ellis</x:v>
      </x:c>
      <x:c r="B13" s="199" t="n">
        <x:v>46357</x:v>
      </x:c>
      <x:c r="C13" s="24" t="str">
        <x:f>IF(OR(A13="",B13=""),"",A13&amp;TEXT(B13,"yyyymm"))</x:f>
        <x:v>Jordan Ellis202612</x:v>
      </x:c>
      <x:c r="D13" s="31" t="n">
        <x:v>10</x:v>
      </x:c>
      <x:c r="E13" t="n">
        <x:v>11</x:v>
      </x:c>
      <x:c r="F13" s="203" t="n">
        <x:f>IF(OR(D13="",E13=""),"",E13/D13)</x:f>
        <x:v>1.1</x:v>
      </x:c>
      <x:c r="G13" s="31" t="n">
        <x:v>3</x:v>
      </x:c>
      <x:c r="H13" t="n">
        <x:v>3</x:v>
      </x:c>
      <x:c r="I13" s="203" t="n">
        <x:f>IF(OR(G13="",H13=""),"",H13/G13)</x:f>
        <x:v>1</x:v>
      </x:c>
      <x:c r="J13" s="203" t="n">
        <x:v>0.93</x:v>
      </x:c>
      <x:c r="K13" s="203" t="n">
        <x:v>0.94</x:v>
      </x:c>
      <x:c r="L13" s="203" t="n">
        <x:v>0.97</x:v>
      </x:c>
      <x:c r="M13" s="203" t="n">
        <x:f>IF(OR(F13="",I13="",J13=""),"",F13*45%+J13*35%+I13*20%)</x:f>
        <x:v>1.0205</x:v>
      </x:c>
      <x:c r="AG13" t="n" cm="1">
        <x:f t="array" ref="AG13">LOOKUP(2,1/(tblPerformance[Follow-Ups %]&lt;&gt;""),tblPerformance[Follow-Ups %])</x:f>
        <x:v>0.72</x:v>
      </x:c>
    </x:row>
    <x:row r="14">
      <x:c r="B14" s="199" t="n">
        <x:v>46388</x:v>
      </x:c>
      <x:c r="C14" s="24" t="str">
        <x:f>IF(OR(A14="",B14=""),"",A14&amp;TEXT(B14,"yyyymm"))</x:f>
      </x:c>
      <x:c r="D14" s="31" t="n">
        <x:v>10</x:v>
      </x:c>
      <x:c r="F14" s="203" t="str">
        <x:f>IF(OR(D14="",E14=""),"",E14/D14)</x:f>
      </x:c>
      <x:c r="G14" s="31" t="n">
        <x:v>3</x:v>
      </x:c>
      <x:c r="I14" s="203" t="str">
        <x:f>IF(OR(G14="",H14=""),"",H14/G14)</x:f>
      </x:c>
      <x:c r="J14" s="203"/>
      <x:c r="K14" s="203"/>
      <x:c r="L14" s="203"/>
      <x:c r="M14" s="203" t="str">
        <x:f>IF(OR(F14="",I14="",J14=""),"",F14*45%+J14*35%+I14*20%)</x:f>
      </x:c>
    </x:row>
    <x:row r="15">
      <x:c r="B15" s="199" t="n">
        <x:v>46419</x:v>
      </x:c>
      <x:c r="C15" s="24" t="str">
        <x:f>IF(OR(A15="",B15=""),"",A15&amp;TEXT(B15,"yyyymm"))</x:f>
      </x:c>
      <x:c r="D15" s="31" t="n">
        <x:v>10</x:v>
      </x:c>
      <x:c r="F15" s="203" t="str">
        <x:f>IF(OR(D15="",E15=""),"",E15/D15)</x:f>
      </x:c>
      <x:c r="G15" s="31" t="n">
        <x:v>3</x:v>
      </x:c>
      <x:c r="I15" s="203" t="str">
        <x:f>IF(OR(G15="",H15=""),"",H15/G15)</x:f>
      </x:c>
      <x:c r="J15" s="203"/>
      <x:c r="K15" s="203"/>
      <x:c r="L15" s="203"/>
      <x:c r="M15" s="203" t="str">
        <x:f>IF(OR(F15="",I15="",J15=""),"",F15*45%+J15*35%+I15*20%)</x:f>
      </x:c>
    </x:row>
    <x:row r="16">
      <x:c r="B16" s="199" t="n">
        <x:v>46447</x:v>
      </x:c>
      <x:c r="C16" s="24" t="str">
        <x:f>IF(OR(A16="",B16=""),"",A16&amp;TEXT(B16,"yyyymm"))</x:f>
      </x:c>
      <x:c r="D16" s="31" t="n">
        <x:v>10</x:v>
      </x:c>
      <x:c r="F16" s="203" t="str">
        <x:f>IF(OR(D16="",E16=""),"",E16/D16)</x:f>
      </x:c>
      <x:c r="G16" s="31" t="n">
        <x:v>3</x:v>
      </x:c>
      <x:c r="I16" s="203" t="str">
        <x:f>IF(OR(G16="",H16=""),"",H16/G16)</x:f>
      </x:c>
      <x:c r="J16" s="203"/>
      <x:c r="K16" s="203"/>
      <x:c r="L16" s="203"/>
      <x:c r="M16" s="203" t="str">
        <x:f>IF(OR(F16="",I16="",J16=""),"",F16*45%+J16*35%+I16*20%)</x:f>
      </x:c>
    </x:row>
    <x:row r="17">
      <x:c r="B17" s="199" t="n">
        <x:v>46478</x:v>
      </x:c>
      <x:c r="C17" s="24" t="str">
        <x:f>IF(OR(A17="",B17=""),"",A17&amp;TEXT(B17,"yyyymm"))</x:f>
      </x:c>
      <x:c r="D17" s="31" t="n">
        <x:v>10</x:v>
      </x:c>
      <x:c r="F17" s="203" t="str">
        <x:f>IF(OR(D17="",E17=""),"",E17/D17)</x:f>
      </x:c>
      <x:c r="G17" s="31" t="n">
        <x:v>3</x:v>
      </x:c>
      <x:c r="I17" s="203" t="str">
        <x:f>IF(OR(G17="",H17=""),"",H17/G17)</x:f>
      </x:c>
      <x:c r="J17" s="203"/>
      <x:c r="K17" s="203"/>
      <x:c r="L17" s="203"/>
      <x:c r="M17" s="203" t="str">
        <x:f>IF(OR(F17="",I17="",J17=""),"",F17*45%+J17*35%+I17*20%)</x:f>
      </x:c>
    </x:row>
    <x:row r="18">
      <x:c r="B18" s="199" t="n">
        <x:v>46508</x:v>
      </x:c>
      <x:c r="C18" s="24" t="str">
        <x:f>IF(OR(A18="",B18=""),"",A18&amp;TEXT(B18,"yyyymm"))</x:f>
      </x:c>
      <x:c r="D18" s="31" t="n">
        <x:v>10</x:v>
      </x:c>
      <x:c r="F18" s="203" t="str">
        <x:f>IF(OR(D18="",E18=""),"",E18/D18)</x:f>
      </x:c>
      <x:c r="G18" s="31" t="n">
        <x:v>3</x:v>
      </x:c>
      <x:c r="I18" s="203" t="str">
        <x:f>IF(OR(G18="",H18=""),"",H18/G18)</x:f>
      </x:c>
      <x:c r="J18" s="203"/>
      <x:c r="K18" s="203"/>
      <x:c r="L18" s="203"/>
      <x:c r="M18" s="203" t="str">
        <x:f>IF(OR(F18="",I18="",J18=""),"",F18*45%+J18*35%+I18*20%)</x:f>
      </x:c>
    </x:row>
    <x:row r="19">
      <x:c r="B19" s="199" t="n">
        <x:v>46539</x:v>
      </x:c>
      <x:c r="C19" s="24" t="str">
        <x:f>IF(OR(A19="",B19=""),"",A19&amp;TEXT(B19,"yyyymm"))</x:f>
      </x:c>
      <x:c r="D19" s="31" t="n">
        <x:v>10</x:v>
      </x:c>
      <x:c r="F19" s="203" t="str">
        <x:f>IF(OR(D19="",E19=""),"",E19/D19)</x:f>
      </x:c>
      <x:c r="G19" s="31" t="n">
        <x:v>3</x:v>
      </x:c>
      <x:c r="I19" s="203" t="str">
        <x:f>IF(OR(G19="",H19=""),"",H19/G19)</x:f>
      </x:c>
      <x:c r="J19" s="203"/>
      <x:c r="K19" s="203"/>
      <x:c r="L19" s="203"/>
      <x:c r="M19" s="203" t="str">
        <x:f>IF(OR(F19="",I19="",J19=""),"",F19*45%+J19*35%+I19*20%)</x:f>
      </x:c>
    </x:row>
    <x:row r="20">
      <x:c r="B20" s="199" t="n">
        <x:v>46569</x:v>
      </x:c>
      <x:c r="C20" s="24" t="str">
        <x:f>IF(OR(A20="",B20=""),"",A20&amp;TEXT(B20,"yyyymm"))</x:f>
      </x:c>
      <x:c r="D20" s="31" t="n">
        <x:v>10</x:v>
      </x:c>
      <x:c r="F20" s="203" t="str">
        <x:f>IF(OR(D20="",E20=""),"",E20/D20)</x:f>
      </x:c>
      <x:c r="G20" s="31" t="n">
        <x:v>3</x:v>
      </x:c>
      <x:c r="I20" s="203" t="str">
        <x:f>IF(OR(G20="",H20=""),"",H20/G20)</x:f>
      </x:c>
      <x:c r="J20" s="203"/>
      <x:c r="K20" s="203"/>
      <x:c r="L20" s="203"/>
      <x:c r="M20" s="203" t="str">
        <x:f>IF(OR(F20="",I20="",J20=""),"",F20*45%+J20*35%+I20*20%)</x:f>
      </x:c>
    </x:row>
    <x:row r="21">
      <x:c r="B21" s="199" t="n">
        <x:v>46600</x:v>
      </x:c>
      <x:c r="C21" s="24" t="str">
        <x:f>IF(OR(A21="",B21=""),"",A21&amp;TEXT(B21,"yyyymm"))</x:f>
      </x:c>
      <x:c r="D21" s="31" t="n">
        <x:v>10</x:v>
      </x:c>
      <x:c r="F21" s="203" t="str">
        <x:f>IF(OR(D21="",E21=""),"",E21/D21)</x:f>
      </x:c>
      <x:c r="G21" s="31" t="n">
        <x:v>3</x:v>
      </x:c>
      <x:c r="I21" s="203" t="str">
        <x:f>IF(OR(G21="",H21=""),"",H21/G21)</x:f>
      </x:c>
      <x:c r="J21" s="203"/>
      <x:c r="K21" s="203"/>
      <x:c r="L21" s="203"/>
      <x:c r="M21" s="203" t="str">
        <x:f>IF(OR(F21="",I21="",J21=""),"",F21*45%+J21*35%+I21*20%)</x:f>
      </x:c>
    </x:row>
    <x:row r="22">
      <x:c r="B22" s="199" t="n">
        <x:v>46631</x:v>
      </x:c>
      <x:c r="C22" s="24" t="str">
        <x:f>IF(OR(A22="",B22=""),"",A22&amp;TEXT(B22,"yyyymm"))</x:f>
      </x:c>
      <x:c r="D22" s="31" t="n">
        <x:v>10</x:v>
      </x:c>
      <x:c r="F22" s="203" t="str">
        <x:f>IF(OR(D22="",E22=""),"",E22/D22)</x:f>
      </x:c>
      <x:c r="G22" s="31" t="n">
        <x:v>3</x:v>
      </x:c>
      <x:c r="I22" s="203" t="str">
        <x:f>IF(OR(G22="",H22=""),"",H22/G22)</x:f>
      </x:c>
      <x:c r="J22" s="203"/>
      <x:c r="K22" s="203"/>
      <x:c r="L22" s="203"/>
      <x:c r="M22" s="203" t="str">
        <x:f>IF(OR(F22="",I22="",J22=""),"",F22*45%+J22*35%+I22*20%)</x:f>
      </x:c>
    </x:row>
    <x:row r="23">
      <x:c r="B23" s="199" t="n">
        <x:v>46661</x:v>
      </x:c>
      <x:c r="C23" s="24" t="str">
        <x:f>IF(OR(A23="",B23=""),"",A23&amp;TEXT(B23,"yyyymm"))</x:f>
      </x:c>
      <x:c r="D23" s="31" t="n">
        <x:v>10</x:v>
      </x:c>
      <x:c r="F23" s="203" t="str">
        <x:f>IF(OR(D23="",E23=""),"",E23/D23)</x:f>
      </x:c>
      <x:c r="G23" s="31" t="n">
        <x:v>3</x:v>
      </x:c>
      <x:c r="I23" s="203" t="str">
        <x:f>IF(OR(G23="",H23=""),"",H23/G23)</x:f>
      </x:c>
      <x:c r="J23" s="203"/>
      <x:c r="K23" s="203"/>
      <x:c r="L23" s="203"/>
      <x:c r="M23" s="203" t="str">
        <x:f>IF(OR(F23="",I23="",J23=""),"",F23*45%+J23*35%+I23*20%)</x:f>
      </x:c>
    </x:row>
    <x:row r="24">
      <x:c r="B24" s="199" t="n">
        <x:v>46692</x:v>
      </x:c>
      <x:c r="C24" s="24" t="str">
        <x:f>IF(OR(A24="",B24=""),"",A24&amp;TEXT(B24,"yyyymm"))</x:f>
      </x:c>
      <x:c r="D24" s="31" t="n">
        <x:v>10</x:v>
      </x:c>
      <x:c r="F24" s="203" t="str">
        <x:f>IF(OR(D24="",E24=""),"",E24/D24)</x:f>
      </x:c>
      <x:c r="G24" s="31" t="n">
        <x:v>3</x:v>
      </x:c>
      <x:c r="I24" s="203" t="str">
        <x:f>IF(OR(G24="",H24=""),"",H24/G24)</x:f>
      </x:c>
      <x:c r="J24" s="203"/>
      <x:c r="K24" s="203"/>
      <x:c r="L24" s="203"/>
      <x:c r="M24" s="203" t="str">
        <x:f>IF(OR(F24="",I24="",J24=""),"",F24*45%+J24*35%+I24*20%)</x:f>
      </x:c>
    </x:row>
    <x:row r="25">
      <x:c r="B25" s="199" t="n">
        <x:v>46722</x:v>
      </x:c>
      <x:c r="C25" s="24" t="str">
        <x:f>IF(OR(A25="",B25=""),"",A25&amp;TEXT(B25,"yyyymm"))</x:f>
      </x:c>
      <x:c r="D25" s="31" t="n">
        <x:v>10</x:v>
      </x:c>
      <x:c r="F25" s="203" t="str">
        <x:f>IF(OR(D25="",E25=""),"",E25/D25)</x:f>
      </x:c>
      <x:c r="G25" s="31" t="n">
        <x:v>3</x:v>
      </x:c>
      <x:c r="I25" s="203" t="str">
        <x:f>IF(OR(G25="",H25=""),"",H25/G25)</x:f>
      </x:c>
      <x:c r="J25" s="203"/>
      <x:c r="K25" s="203"/>
      <x:c r="L25" s="203"/>
      <x:c r="M25" s="203" t="str">
        <x:f>IF(OR(F25="",I25="",J25=""),"",F25*45%+J25*35%+I25*20%)</x:f>
      </x:c>
    </x:row>
    <x:row r="26">
      <x:c r="B26" s="199" t="n">
        <x:v>46753</x:v>
      </x:c>
      <x:c r="C26" s="24" t="str">
        <x:f>IF(OR(A26="",B26=""),"",A26&amp;TEXT(B26,"yyyymm"))</x:f>
      </x:c>
      <x:c r="D26" s="31" t="n">
        <x:v>10</x:v>
      </x:c>
      <x:c r="F26" s="203" t="str">
        <x:f>IF(OR(D26="",E26=""),"",E26/D26)</x:f>
      </x:c>
      <x:c r="G26" s="31" t="n">
        <x:v>3</x:v>
      </x:c>
      <x:c r="I26" s="203" t="str">
        <x:f>IF(OR(G26="",H26=""),"",H26/G26)</x:f>
      </x:c>
      <x:c r="J26" s="203"/>
      <x:c r="K26" s="203"/>
      <x:c r="L26" s="203"/>
      <x:c r="M26" s="203" t="str">
        <x:f>IF(OR(F26="",I26="",J26=""),"",F26*45%+J26*35%+I26*20%)</x:f>
      </x:c>
    </x:row>
    <x:row r="27">
      <x:c r="B27" s="199" t="n">
        <x:v>46784</x:v>
      </x:c>
      <x:c r="C27" s="24" t="str">
        <x:f>IF(OR(A27="",B27=""),"",A27&amp;TEXT(B27,"yyyymm"))</x:f>
      </x:c>
      <x:c r="D27" s="31" t="n">
        <x:v>10</x:v>
      </x:c>
      <x:c r="F27" s="203" t="str">
        <x:f>IF(OR(D27="",E27=""),"",E27/D27)</x:f>
      </x:c>
      <x:c r="G27" s="31" t="n">
        <x:v>3</x:v>
      </x:c>
      <x:c r="I27" s="203" t="str">
        <x:f>IF(OR(G27="",H27=""),"",H27/G27)</x:f>
      </x:c>
      <x:c r="J27" s="203"/>
      <x:c r="K27" s="203"/>
      <x:c r="L27" s="203"/>
      <x:c r="M27" s="203" t="str">
        <x:f>IF(OR(F27="",I27="",J27=""),"",F27*45%+J27*35%+I27*20%)</x:f>
      </x:c>
    </x:row>
    <x:row r="28">
      <x:c r="B28" s="199" t="n">
        <x:v>46813</x:v>
      </x:c>
      <x:c r="C28" s="24" t="str">
        <x:f>IF(OR(A28="",B28=""),"",A28&amp;TEXT(B28,"yyyymm"))</x:f>
      </x:c>
      <x:c r="D28" s="31" t="n">
        <x:v>10</x:v>
      </x:c>
      <x:c r="F28" s="203" t="str">
        <x:f>IF(OR(D28="",E28=""),"",E28/D28)</x:f>
      </x:c>
      <x:c r="G28" s="31" t="n">
        <x:v>3</x:v>
      </x:c>
      <x:c r="I28" s="203" t="str">
        <x:f>IF(OR(G28="",H28=""),"",H28/G28)</x:f>
      </x:c>
      <x:c r="J28" s="203"/>
      <x:c r="K28" s="203"/>
      <x:c r="L28" s="203"/>
      <x:c r="M28" s="203" t="str">
        <x:f>IF(OR(F28="",I28="",J28=""),"",F28*45%+J28*35%+I28*20%)</x:f>
      </x:c>
    </x:row>
    <x:row r="29">
      <x:c r="B29" s="199" t="n">
        <x:v>46844</x:v>
      </x:c>
      <x:c r="C29" s="24" t="str">
        <x:f>IF(OR(A29="",B29=""),"",A29&amp;TEXT(B29,"yyyymm"))</x:f>
      </x:c>
      <x:c r="D29" s="31" t="n">
        <x:v>10</x:v>
      </x:c>
      <x:c r="F29" s="203" t="str">
        <x:f>IF(OR(D29="",E29=""),"",E29/D29)</x:f>
      </x:c>
      <x:c r="G29" s="31" t="n">
        <x:v>3</x:v>
      </x:c>
      <x:c r="I29" s="203" t="str">
        <x:f>IF(OR(G29="",H29=""),"",H29/G29)</x:f>
      </x:c>
      <x:c r="J29" s="203"/>
      <x:c r="K29" s="203"/>
      <x:c r="L29" s="203"/>
      <x:c r="M29" s="203" t="str">
        <x:f>IF(OR(F29="",I29="",J29=""),"",F29*45%+J29*35%+I29*20%)</x:f>
      </x:c>
    </x:row>
    <x:row r="30">
      <x:c r="B30" s="199" t="n">
        <x:v>46874</x:v>
      </x:c>
      <x:c r="C30" s="24" t="str">
        <x:f>IF(OR(A30="",B30=""),"",A30&amp;TEXT(B30,"yyyymm"))</x:f>
      </x:c>
      <x:c r="D30" t="n">
        <x:v>10</x:v>
      </x:c>
      <x:c r="F30" s="203" t="str">
        <x:f>IF(OR(D30="",E30=""),"",E30/D30)</x:f>
      </x:c>
      <x:c r="G30" t="n">
        <x:v>3</x:v>
      </x:c>
      <x:c r="I30" s="203" t="str">
        <x:f>IF(OR(G30="",H30=""),"",H30/G30)</x:f>
      </x:c>
      <x:c r="J30" s="203"/>
      <x:c r="K30" s="203"/>
      <x:c r="L30" s="203"/>
      <x:c r="M30" s="203" t="str">
        <x:f>IF(OR(F30="",I30="",J30=""),"",F30*45%+J30*35%+I30*20%)</x:f>
      </x:c>
    </x:row>
    <x:row r="31">
      <x:c r="B31" s="199" t="n">
        <x:v>46905</x:v>
      </x:c>
      <x:c r="C31" s="24" t="str">
        <x:f>IF(OR(A31="",B31=""),"",A31&amp;TEXT(B31,"yyyymm"))</x:f>
      </x:c>
      <x:c r="D31" t="n">
        <x:v>10</x:v>
      </x:c>
      <x:c r="F31" s="203" t="str">
        <x:f>IF(OR(D31="",E31=""),"",E31/D31)</x:f>
      </x:c>
      <x:c r="G31" t="n">
        <x:v>3</x:v>
      </x:c>
      <x:c r="I31" s="203" t="str">
        <x:f>IF(OR(G31="",H31=""),"",H31/G31)</x:f>
      </x:c>
      <x:c r="J31" s="203"/>
      <x:c r="K31" s="203"/>
      <x:c r="L31" s="203"/>
      <x:c r="M31" s="203" t="str">
        <x:f>IF(OR(F31="",I31="",J31=""),"",F31*45%+J31*35%+I31*20%)</x:f>
      </x:c>
    </x:row>
    <x:row r="32">
      <x:c r="B32" s="199" t="n">
        <x:v>46935</x:v>
      </x:c>
      <x:c r="C32" s="24" t="str">
        <x:f>IF(OR(A32="",B32=""),"",A32&amp;TEXT(B32,"yyyymm"))</x:f>
      </x:c>
      <x:c r="D32" t="n">
        <x:v>10</x:v>
      </x:c>
      <x:c r="F32" s="203" t="str">
        <x:f>IF(OR(D32="",E32=""),"",E32/D32)</x:f>
      </x:c>
      <x:c r="G32" t="n">
        <x:v>3</x:v>
      </x:c>
      <x:c r="I32" s="203" t="str">
        <x:f>IF(OR(G32="",H32=""),"",H32/G32)</x:f>
      </x:c>
      <x:c r="J32" s="203"/>
      <x:c r="K32" s="203"/>
      <x:c r="L32" s="203"/>
      <x:c r="M32" s="203" t="str">
        <x:f>IF(OR(F32="",I32="",J32=""),"",F32*45%+J32*35%+I32*20%)</x:f>
      </x:c>
    </x:row>
    <x:row r="38">
      <x:c r="A38" s="26" t="str">
        <x:v>Metric</x:v>
      </x:c>
      <x:c r="B38" s="26" t="str">
        <x:v>Weight</x:v>
      </x:c>
      <x:c r="C38" s="26" t="str">
        <x:v>Why / Status</x:v>
      </x:c>
    </x:row>
    <x:row r="39" ht="45">
      <x:c r="A39" s="25" t="str">
        <x:v>Core Product Goal %</x:v>
      </x:c>
      <x:c r="B39" s="136" t="n">
        <x:v>0.45</x:v>
      </x:c>
      <x:c r="C39" s="25" t="str">
        <x:v>45% of weighted score - primary production</x:v>
      </x:c>
    </x:row>
    <x:row r="40" ht="45">
      <x:c r="A40" s="25" t="str">
        <x:v>Secondary Product Goal %</x:v>
      </x:c>
      <x:c r="B40" s="136" t="n">
        <x:v>0.2</x:v>
      </x:c>
      <x:c r="C40" s="25" t="str">
        <x:v>20% of weighted score - secondary production</x:v>
      </x:c>
    </x:row>
    <x:row r="41">
      <x:c r="A41" s="25" t="str">
        <x:v>Quality Rate %</x:v>
      </x:c>
      <x:c r="B41" s="136" t="n">
        <x:v>0.35</x:v>
      </x:c>
      <x:c r="C41" s="25" t="str">
        <x:v>35% of weighted score - work quality</x:v>
      </x:c>
    </x:row>
    <x:row r="42">
      <x:c r="A42" s="25" t="str">
        <x:v>Retention %</x:v>
      </x:c>
      <x:c r="B42" s="136" t="n">
        <x:v>0</x:v>
      </x:c>
      <x:c r="C42" s="25" t="str">
        <x:v>Tracked separately - supporting quality metric</x:v>
      </x:c>
    </x:row>
    <x:row r="43" ht="30">
      <x:c r="A43" s="25" t="str">
        <x:v>Follow-Up Rate %</x:v>
      </x:c>
      <x:c r="B43" s="136" t="n">
        <x:v>0</x:v>
      </x:c>
      <x:c r="C43" s="25" t="str">
        <x:v>Tracked separately - service/accountability metric</x:v>
      </x:c>
    </x:row>
    <x:row r="44">
      <x:c r="A44"/>
      <x:c r="B44" s="24"/>
      <x:c r="C44"/>
    </x:row>
    <x:row r="45">
      <x:c r="A45" s="24" t="str">
        <x:v>Weighted Score Total = 100%</x:v>
      </x:c>
      <x:c r="B45" s="24"/>
      <x:c r="C45"/>
    </x:row>
  </x:sheetData>
  <x:pageMargins left="0.7" right="0.7" top="0.75" bottom="0.75" header="0.3" footer="0.3"/>
  <x:tableParts count="2">
    <x:tablePart xmlns:r="http://schemas.openxmlformats.org/officeDocument/2006/relationships" r:id="Rd892568a7c854b94"/>
    <x:tablePart xmlns:r="http://schemas.openxmlformats.org/officeDocument/2006/relationships" r:id="R4cc5699fb8d944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5703125" style="24" customWidth="1"/>
    <x:col min="2" max="2" width="27.140625" style="24" customWidth="1"/>
    <x:col min="5" max="9" width="0" hidden="1" customWidth="1"/>
    <x:col min="10" max="10" width="48" hidden="1" customWidth="1"/>
    <x:col min="11" max="12" width="0" hidden="1" customWidth="1"/>
    <x:col min="13" max="13" width="21" hidden="1" customWidth="1"/>
    <x:col min="14" max="30" width="0" hidden="1" customWidth="1"/>
    <x:col min="37" max="37" width="12.42578125" customWidth="1"/>
    <x:col min="38" max="38" width="15.7109375" customWidth="1"/>
    <x:col min="39" max="39" width="40" customWidth="1"/>
    <x:col min="40" max="40" width="14.140625" customWidth="1"/>
    <x:col min="51" max="51" width="7.85546875" customWidth="1"/>
    <x:col min="52" max="52" width="8.85546875" customWidth="1"/>
    <x:col min="54" max="54" width="11.7109375" customWidth="1"/>
    <x:col min="55" max="55" width="32.7109375" customWidth="1"/>
  </x:cols>
  <x:sheetData>
    <x:row r="1" ht="30" customHeight="1">
      <x:c r="A1" s="23" t="s">
        <x:v>173</x:v>
      </x:c>
      <x:c r="B1" s="25" t="s">
        <x:v>174</x:v>
      </x:c>
      <x:c r="F1" s="7"/>
      <x:c r="J1" s="7"/>
      <x:c r="R1" s="7"/>
      <x:c r="AK1" s="52" t="s">
        <x:v>175</x:v>
      </x:c>
      <x:c r="AL1" s="52"/>
      <x:c r="AM1" s="52"/>
    </x:row>
    <x:row r="2" ht="48" customHeight="1">
      <x:c r="A2" s="23" t="s">
        <x:v>54</x:v>
      </x:c>
      <x:c r="B2" s="25" t="str">
        <x:v>Jordan Ellis</x:v>
      </x:c>
      <x:c r="F2" s="7"/>
      <x:c r="I2" s="9"/>
      <x:c r="J2" s="9"/>
      <x:c r="R2" s="7"/>
      <x:c r="AK2" s="53" t="s">
        <x:v>176</x:v>
      </x:c>
      <x:c r="AL2" s="53"/>
      <x:c r="AM2" s="42" t="str">
        <x:f>"Employee Since"&amp;CHAR(10)&amp;TEXT(B4,"mmmm yyyy")</x:f>
        <x:v>Employee Since
January 2025</x:v>
      </x:c>
    </x:row>
    <x:row r="3" ht="53.25" customHeight="1">
      <x:c r="A3" s="23" t="s">
        <x:v>57</x:v>
      </x:c>
      <x:c r="B3" s="36" t="str">
        <x:v>Client Services Specialist</x:v>
      </x:c>
      <x:c r="F3" s="7"/>
      <x:c r="R3" s="7"/>
      <x:c r="AK3" s="53" t="s">
        <x:v>73</x:v>
      </x:c>
      <x:c r="AL3" s="53"/>
      <x:c r="AM3" s="43" t="s">
        <x:v>177</x:v>
      </x:c>
    </x:row>
    <x:row r="4" ht="39" customHeight="1">
      <x:c r="A4" s="23" t="s">
        <x:v>60</x:v>
      </x:c>
      <x:c r="B4" s="201" t="n">
        <x:v>45663</x:v>
      </x:c>
      <x:c r="F4" s="7"/>
      <x:c r="R4" s="7"/>
      <x:c r="AK4" s="53" t="s">
        <x:v>77</x:v>
      </x:c>
      <x:c r="AL4" s="53"/>
      <x:c r="AM4" s="43" t="s">
        <x:v>77</x:v>
      </x:c>
    </x:row>
    <x:row r="5" ht="39.75" customHeight="1">
      <x:c r="A5" s="23" t="s">
        <x:v>63</x:v>
      </x:c>
      <x:c r="B5" s="25" t="str">
        <x:v>Riverside Branch</x:v>
      </x:c>
      <x:c r="F5" s="7"/>
      <x:c r="R5" s="7"/>
      <x:c r="AK5" s="53" t="s">
        <x:v>178</x:v>
      </x:c>
      <x:c r="AL5" s="53"/>
      <x:c r="AM5" s="43" t="str">
        <x:f>"- "&amp;B10&amp;
CHAR(10)&amp;
"- "&amp;B11&amp;
CHAR(10)&amp;
"- "&amp;B12</x:f>
        <x:v>- Review quality exceptions weekly and document recurring themes.
- Use a consistent discovery checklist during customer conversations.
- Complete scheduled follow-ups within the target service window.</x:v>
      </x:c>
    </x:row>
    <x:row r="6" ht="51.75" customHeight="1">
      <x:c r="A6" s="23" t="s">
        <x:v>179</x:v>
      </x:c>
      <x:c r="B6" s="25" t="str">
        <x:v>Senior Client Services Specialist</x:v>
      </x:c>
      <x:c r="F6" s="7"/>
      <x:c r="AK6" s="53" t="s">
        <x:v>91</x:v>
      </x:c>
      <x:c r="AL6" s="53"/>
      <x:c r="AM6" s="43" t="s">
        <x:v>180</x:v>
      </x:c>
    </x:row>
    <x:row r="7" ht="50.25" customHeight="1">
      <x:c r="A7" s="23" t="s">
        <x:v>69</x:v>
      </x:c>
      <x:c r="B7" s="25" t="str">
        <x:v>Forest Green</x:v>
      </x:c>
      <x:c r="F7" s="7"/>
      <x:c r="AK7" s="53" t="s">
        <x:v>95</x:v>
      </x:c>
      <x:c r="AL7" s="53"/>
      <x:c r="AM7" s="43" t="str">
        <x:f>B14</x:f>
        <x:v>Client Services Associate - Jan 2025
Client Services Specialist - Jan 2026</x:v>
      </x:c>
    </x:row>
    <x:row r="8" s="16" customFormat="1" ht="75">
      <x:c r="A8" s="23" t="s">
        <x:v>73</x:v>
      </x:c>
      <x:c r="B8" s="38" t="str">
        <x:v>Exceeded the core production goal while improving retention and follow-up consistency.</x:v>
      </x:c>
      <x:c r="F8" s="17"/>
      <x:c r="AK8" s="50" t="str">
        <x:v>Current 12-Month Production</x:v>
      </x:c>
      <x:c r="AL8" s="51" t="n">
        <x:f>B16</x:f>
        <x:v>102</x:v>
      </x:c>
      <x:c r="AM8" s="44">
        <x:v>0</x:v>
      </x:c>
    </x:row>
    <x:row r="9" ht="45">
      <x:c r="A9" s="23" t="s">
        <x:v>77</x:v>
      </x:c>
      <x:c r="B9" s="25" t="str">
        <x:v>Raise quality performance while maintaining strong follow-up completion.</x:v>
      </x:c>
      <x:c r="F9" s="7"/>
      <x:c r="AK9" s="41" t="str">
        <x:v>12-Month Benchmark</x:v>
      </x:c>
      <x:c r="AL9" s="41" t="n">
        <x:f>B17</x:f>
        <x:v>96</x:v>
      </x:c>
      <x:c r="AM9" s="45">
        <x:v>0</x:v>
      </x:c>
    </x:row>
    <x:row r="10">
      <x:c r="A10" s="23" t="s">
        <x:v>81</x:v>
      </x:c>
      <x:c r="B10" s="25" t="str">
        <x:v>Review quality exceptions weekly and document recurring themes.</x:v>
      </x:c>
      <x:c r="F10" s="7"/>
      <x:c r="J10" s="7"/>
      <x:c r="AK10" s="41" t="str">
        <x:v>Benchmark Attainment</x:v>
      </x:c>
      <x:c r="AL10" s="204" t="n">
        <x:f>IFERROR(AL8/AL9,"")</x:f>
        <x:v>1.0625</x:v>
      </x:c>
      <x:c r="AM10" s="46">
        <x:v>0</x:v>
      </x:c>
    </x:row>
    <x:row r="11">
      <x:c r="A11" s="23" t="s">
        <x:v>85</x:v>
      </x:c>
      <x:c r="B11" s="25" t="str">
        <x:v>Use a consistent discovery checklist during customer conversations.</x:v>
      </x:c>
      <x:c r="F11" s="7"/>
      <x:c r="J11" s="7"/>
      <x:c r="AK11" s="41"/>
      <x:c r="AL11" s="204"/>
      <x:c r="AM11" s="47">
        <x:v>46239</x:v>
      </x:c>
    </x:row>
    <x:row r="12">
      <x:c r="A12" s="23" t="s">
        <x:v>88</x:v>
      </x:c>
      <x:c r="B12" s="25" t="str">
        <x:v>Complete scheduled follow-ups within the target service window.</x:v>
      </x:c>
      <x:c r="F12" s="7"/>
      <x:c r="J12" s="7"/>
      <x:c r="AK12"/>
      <x:c r="AL12" s="203"/>
    </x:row>
    <x:row r="13" ht="47.25">
      <x:c r="A13" s="23" t="s">
        <x:v>91</x:v>
      </x:c>
      <x:c r="B13" s="25" t="str">
        <x:v>Service Excellence Recognition - Q3 2026</x:v>
      </x:c>
      <x:c r="F13" s="7"/>
      <x:c r="J13" s="7"/>
      <x:c r="AK13" s="48" t="str">
        <x:v>Latest Core Product Goal %</x:v>
      </x:c>
      <x:c r="AL13" s="205" t="n" cm="1">
        <x:f t="array" ref="AL13">LOOKUP(2,1/('Monthly Performance'!$F$2:$F$32&lt;&gt;""),'Monthly Performance'!$F$2:$F$32)</x:f>
        <x:v>1.1</x:v>
      </x:c>
    </x:row>
    <x:row r="14" ht="52.5" customHeight="1">
      <x:c r="A14" s="23" t="s">
        <x:v>95</x:v>
      </x:c>
      <x:c r="B14" s="25" t="str">
        <x:v>Client Services Associate - Jan 2025
Client Services Specialist - Jan 2026</x:v>
      </x:c>
      <x:c r="F14" s="7"/>
      <x:c r="J14" s="7"/>
      <x:c r="AK14" s="48" t="str">
        <x:v>Latest Secondary Product Goal %</x:v>
      </x:c>
      <x:c r="AL14" s="205" t="n" cm="1">
        <x:f t="array" ref="AL14">LOOKUP(2,1/('Monthly Performance'!$I$2:$I$32&lt;&gt;""),'Monthly Performance'!$I$2:$I$32)</x:f>
        <x:v>1</x:v>
      </x:c>
    </x:row>
    <x:row r="15" ht="47.25">
      <x:c r="B15"/>
      <x:c r="F15" s="7"/>
      <x:c r="J15" s="7"/>
      <x:c r="AK15" s="48" t="str">
        <x:v>Latest Quality Rate %</x:v>
      </x:c>
      <x:c r="AL15" s="205" t="n">
        <x:f>LOOKUP(2,1/('Monthly Performance'!$J$2:$J$32&lt;&gt;""),'Monthly Performance'!$J$2:$J$32)</x:f>
        <x:v>0.93</x:v>
      </x:c>
    </x:row>
    <x:row r="16" ht="31.5">
      <x:c r="B16" t="n">
        <x:v>102</x:v>
      </x:c>
      <x:c r="F16" s="7"/>
      <x:c r="J16" s="7"/>
      <x:c r="AK16" s="48" t="str">
        <x:v>Latest Retention %</x:v>
      </x:c>
      <x:c r="AL16" s="205" t="n">
        <x:f>LOOKUP(2,1/('Monthly Performance'!$K$2:$K$32&lt;&gt;""),'Monthly Performance'!$K$2:$K$32)</x:f>
        <x:v>0.94</x:v>
      </x:c>
    </x:row>
    <x:row r="17" ht="47.25">
      <x:c r="B17" t="n">
        <x:v>96</x:v>
      </x:c>
      <x:c r="F17" s="7"/>
      <x:c r="J17" s="7"/>
      <x:c r="AK17" s="48" t="str">
        <x:v>Latest Follow-Up Rate %</x:v>
      </x:c>
      <x:c r="AL17" s="205" t="n">
        <x:f>LOOKUP(2,1/('Monthly Performance'!$L$2:$L$32&lt;&gt;""),'Monthly Performance'!$L$2:$L$32)</x:f>
        <x:v>0.97</x:v>
      </x:c>
    </x:row>
    <x:row r="18" ht="47.25">
      <x:c r="B18" s="202" t="n">
        <x:v>46387</x:v>
      </x:c>
      <x:c r="F18" s="7"/>
      <x:c r="J18" s="7"/>
      <x:c r="AK18" s="48" t="str">
        <x:v>Latest Weighted Performance Score</x:v>
      </x:c>
      <x:c r="AL18" s="205" t="n" cm="1">
        <x:f t="array" ref="AL18">IFERROR(LOOKUP(2,1/('Monthly Performance'!$M$2:$M$32&lt;&gt;""),'Monthly Performance'!$M$2:$M$32),"")</x:f>
        <x:v>1.0205</x:v>
      </x:c>
    </x:row>
    <x:row r="19">
      <x:c r="B19"/>
    </x:row>
    <x:row r="20">
      <x:c r="AK20" s="13" t="s">
        <x:v>181</x:v>
      </x:c>
      <x:c r="AL20" s="14" t="s">
        <x:v>182</x:v>
      </x:c>
    </x:row>
    <x:row r="21">
      <x:c r="AK21" s="206" t="n">
        <x:f>'Monthly Performance'!B2</x:f>
        <x:v>46023</x:v>
      </x:c>
      <x:c r="AL21" s="138" t="n">
        <x:f>IF('Monthly Performance'!M2="","",'Monthly Performance'!M2)</x:f>
        <x:v>0.6483333333333333</x:v>
      </x:c>
    </x:row>
    <x:row r="22">
      <x:c r="AK22" s="206" t="n">
        <x:f>'Monthly Performance'!B3</x:f>
        <x:v>46054</x:v>
      </x:c>
      <x:c r="AL22" s="138" t="n">
        <x:f>IF('Monthly Performance'!M3="","",'Monthly Performance'!M3)</x:f>
        <x:v>0.7038333333333333</x:v>
      </x:c>
    </x:row>
    <x:row r="23">
      <x:c r="AK23" s="206" t="n">
        <x:f>'Monthly Performance'!B4</x:f>
        <x:v>46082</x:v>
      </x:c>
      <x:c r="AL23" s="138" t="n">
        <x:f>IF('Monthly Performance'!M4="","",'Monthly Performance'!M4)</x:f>
        <x:v>0.7143333333333333</x:v>
      </x:c>
    </x:row>
    <x:row r="24">
      <x:c r="AK24" s="206" t="n">
        <x:f>'Monthly Performance'!B5</x:f>
        <x:v>46113</x:v>
      </x:c>
      <x:c r="AL24" s="138" t="n">
        <x:f>IF('Monthly Performance'!M5="","",'Monthly Performance'!M5)</x:f>
        <x:v>0.7663333333333333</x:v>
      </x:c>
    </x:row>
    <x:row r="25">
      <x:c r="AK25" s="206" t="n">
        <x:f>'Monthly Performance'!B6</x:f>
        <x:v>46143</x:v>
      </x:c>
      <x:c r="AL25" s="138" t="n">
        <x:f>IF('Monthly Performance'!M6="","",'Monthly Performance'!M6)</x:f>
        <x:v>0.8434999999999999</x:v>
      </x:c>
    </x:row>
    <x:row r="26">
      <x:c r="AK26" s="206" t="n">
        <x:f>'Monthly Performance'!B7</x:f>
        <x:v>46174</x:v>
      </x:c>
      <x:c r="AL26" s="138" t="n">
        <x:f>IF('Monthly Performance'!M7="","",'Monthly Performance'!M7)</x:f>
        <x:v>0.8148333333333333</x:v>
      </x:c>
    </x:row>
    <x:row r="27">
      <x:c r="AK27" s="206" t="n">
        <x:f>'Monthly Performance'!B8</x:f>
        <x:v>46204</x:v>
      </x:c>
      <x:c r="AL27" s="138" t="n">
        <x:f>IF('Monthly Performance'!M8="","",'Monthly Performance'!M8)</x:f>
        <x:v>0.8540000000000001</x:v>
      </x:c>
    </x:row>
    <x:row r="28">
      <x:c r="AK28" s="206" t="n">
        <x:f>'Monthly Performance'!B9</x:f>
        <x:v>46235</x:v>
      </x:c>
      <x:c r="AL28" s="138" t="n">
        <x:f>IF('Monthly Performance'!M9="","",'Monthly Performance'!M9)</x:f>
        <x:v>0.9059999999999999</x:v>
      </x:c>
    </x:row>
    <x:row r="29">
      <x:c r="AK29" s="206" t="n">
        <x:f>'Monthly Performance'!B10</x:f>
        <x:v>46266</x:v>
      </x:c>
      <x:c r="AL29" s="138" t="n">
        <x:f>IF('Monthly Performance'!M10="","",'Monthly Performance'!M10)</x:f>
        <x:v>0.958</x:v>
      </x:c>
    </x:row>
    <x:row r="30">
      <x:c r="AK30" s="206" t="n">
        <x:f>'Monthly Performance'!B11</x:f>
        <x:v>46296</x:v>
      </x:c>
      <x:c r="AL30" s="138" t="n">
        <x:f>IF('Monthly Performance'!M11="","",'Monthly Performance'!M11)</x:f>
        <x:v>0.8428333333333333</x:v>
      </x:c>
    </x:row>
    <x:row r="31">
      <x:c r="AK31" s="206" t="n">
        <x:f>'Monthly Performance'!B12</x:f>
        <x:v>46327</x:v>
      </x:c>
      <x:c r="AL31" s="138" t="n">
        <x:f>IF('Monthly Performance'!M12="","",'Monthly Performance'!M12)</x:f>
        <x:v>0.9684999999999999</x:v>
      </x:c>
    </x:row>
    <x:row r="32">
      <x:c r="AK32" s="206" t="n">
        <x:f>'Monthly Performance'!B13</x:f>
        <x:v>46357</x:v>
      </x:c>
      <x:c r="AL32" s="138" t="n">
        <x:f>IF('Monthly Performance'!M13="","",'Monthly Performance'!M13)</x:f>
        <x:v>1.0205</x:v>
      </x:c>
    </x:row>
    <x:row r="33">
      <x:c r="AK33" s="13"/>
      <x:c r="AL33" s="138"/>
    </x:row>
    <x:row r="34">
      <x:c r="AK34" s="13"/>
      <x:c r="AL34" s="138"/>
    </x:row>
    <x:row r="35">
      <x:c r="AK35" s="13"/>
      <x:c r="AL35" s="14"/>
    </x:row>
    <x:row r="36">
      <x:c r="AK36" s="13"/>
      <x:c r="AL36" s="14"/>
    </x:row>
    <x:row r="37">
      <x:c r="AK37" s="13"/>
      <x:c r="AL37" s="14"/>
    </x:row>
    <x:row r="38">
      <x:c r="AK38" s="13"/>
      <x:c r="AL38" s="14"/>
    </x:row>
    <x:row r="39">
      <x:c r="AK39" s="13"/>
      <x:c r="AL39" s="14"/>
    </x:row>
    <x:row r="40">
      <x:c r="AK40" s="13"/>
      <x:c r="AL40" s="14"/>
    </x:row>
    <x:row r="41">
      <x:c r="AK41" s="13"/>
      <x:c r="AL41" s="14"/>
    </x:row>
    <x:row r="42">
      <x:c r="AK42" s="13"/>
      <x:c r="AL42" s="14"/>
    </x:row>
    <x:row r="43">
      <x:c r="AK43" s="13"/>
      <x:c r="AL43" s="14"/>
    </x:row>
    <x:row r="44">
      <x:c r="AK44" s="13"/>
      <x:c r="AL44" s="14"/>
    </x:row>
    <x:row r="45">
      <x:c r="AK45" s="13"/>
      <x:c r="AL45" s="14"/>
    </x:row>
  </x:sheetData>
  <x:mergeCells>
    <x:mergeCell ref="AK8:AL8"/>
    <x:mergeCell ref="AK1:AM1"/>
    <x:mergeCell ref="AK5:AL5"/>
    <x:mergeCell ref="AK6:AL6"/>
    <x:mergeCell ref="AK7:AL7"/>
    <x:mergeCell ref="AK2:AL2"/>
    <x:mergeCell ref="AK3:AL3"/>
    <x:mergeCell ref="AK4:AL4"/>
  </x:mergeCells>
  <x:pageMargins left="0.7" right="0.7" top="0.75" bottom="0.75" header="0.3" footer="0.3"/>
  <x:tableParts count="2">
    <x:tablePart xmlns:r="http://schemas.openxmlformats.org/officeDocument/2006/relationships" r:id="Reb8c4f3f22f345a7"/>
    <x:tablePart xmlns:r="http://schemas.openxmlformats.org/officeDocument/2006/relationships" r:id="R45f127e9bfea4d00"/>
  </x:tableParts>
</x:worksheet>
</file>